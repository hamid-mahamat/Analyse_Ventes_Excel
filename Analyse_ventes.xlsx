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5EE0CFF-459A-4A87-AF87-8E68CBAA19A1}" xr6:coauthVersionLast="47" xr6:coauthVersionMax="47" xr10:uidLastSave="{00000000-0000-0000-0000-000000000000}"/>
  <bookViews>
    <workbookView xWindow="-110" yWindow="-110" windowWidth="19420" windowHeight="10560" activeTab="2" xr2:uid="{00000000-000D-0000-FFFF-FFFF00000000}"/>
  </bookViews>
  <sheets>
    <sheet name="Ventes" sheetId="1" r:id="rId1"/>
    <sheet name="Traitement" sheetId="2" r:id="rId2"/>
    <sheet name="Tableau de Bord" sheetId="3" r:id="rId3"/>
  </sheets>
  <definedNames>
    <definedName name="Segment_Article">#N/A</definedName>
    <definedName name="Segment_Commercial">#N/A</definedName>
    <definedName name="Segment_Vill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3" l="1"/>
  <c r="H18" i="2"/>
  <c r="H19" i="2"/>
  <c r="H20" i="2"/>
  <c r="H21" i="2"/>
  <c r="H17" i="2"/>
  <c r="D26" i="2"/>
  <c r="D27" i="2"/>
  <c r="D28" i="2"/>
  <c r="D29" i="2"/>
  <c r="D30" i="2"/>
  <c r="D31" i="2"/>
  <c r="D32" i="2"/>
  <c r="D33" i="2"/>
  <c r="D34" i="2"/>
  <c r="E34" i="2" s="1"/>
  <c r="D25" i="2"/>
  <c r="G9" i="3"/>
  <c r="B9" i="3"/>
  <c r="E32" i="2" l="1"/>
  <c r="E28" i="2"/>
  <c r="E25" i="2"/>
  <c r="E31" i="2"/>
  <c r="E27" i="2"/>
  <c r="E30" i="2"/>
  <c r="E26" i="2"/>
  <c r="E33" i="2"/>
  <c r="E29" i="2"/>
</calcChain>
</file>

<file path=xl/sharedStrings.xml><?xml version="1.0" encoding="utf-8"?>
<sst xmlns="http://schemas.openxmlformats.org/spreadsheetml/2006/main" count="213" uniqueCount="73">
  <si>
    <t>Commercial</t>
  </si>
  <si>
    <t>Ville</t>
  </si>
  <si>
    <t>Région</t>
  </si>
  <si>
    <t>Client</t>
  </si>
  <si>
    <t>Date de commande</t>
  </si>
  <si>
    <t>Article</t>
  </si>
  <si>
    <t>Quantité</t>
  </si>
  <si>
    <t>Prix (FCFA)</t>
  </si>
  <si>
    <t>Chiffre d'affaire</t>
  </si>
  <si>
    <t>Bénéfice</t>
  </si>
  <si>
    <t>Moussa</t>
  </si>
  <si>
    <t>Mongo</t>
  </si>
  <si>
    <t>Guéra</t>
  </si>
  <si>
    <t>04/03/2026</t>
  </si>
  <si>
    <t>Savon</t>
  </si>
  <si>
    <t>Ati</t>
  </si>
  <si>
    <t>Batha</t>
  </si>
  <si>
    <t>10/03/2026</t>
  </si>
  <si>
    <t>Ali</t>
  </si>
  <si>
    <t>N'Djamena</t>
  </si>
  <si>
    <t>Chari-Baguirmi</t>
  </si>
  <si>
    <t>06/02/2026</t>
  </si>
  <si>
    <t>Farine</t>
  </si>
  <si>
    <t>Doba</t>
  </si>
  <si>
    <t>Logone Oriental</t>
  </si>
  <si>
    <t>22/01/2026</t>
  </si>
  <si>
    <t>Riz</t>
  </si>
  <si>
    <t>Moundou</t>
  </si>
  <si>
    <t>Logone Occidental</t>
  </si>
  <si>
    <t>Sarh</t>
  </si>
  <si>
    <t>Moyen-Chari</t>
  </si>
  <si>
    <t>17/01/2026</t>
  </si>
  <si>
    <t>Sucre</t>
  </si>
  <si>
    <t>02/02/2026</t>
  </si>
  <si>
    <t>Fatimé</t>
  </si>
  <si>
    <t>20/02/2026</t>
  </si>
  <si>
    <t>Hassan</t>
  </si>
  <si>
    <t>19/03/2026</t>
  </si>
  <si>
    <t>Faya-Largeau</t>
  </si>
  <si>
    <t>Borkou</t>
  </si>
  <si>
    <t>25/02/2026</t>
  </si>
  <si>
    <t>Huile</t>
  </si>
  <si>
    <t>Pala</t>
  </si>
  <si>
    <t>Mayo-Kebbi Ouest</t>
  </si>
  <si>
    <t>02/04/2026</t>
  </si>
  <si>
    <t>27/01/2026</t>
  </si>
  <si>
    <t>Amina</t>
  </si>
  <si>
    <t>04/01/2026</t>
  </si>
  <si>
    <t>15/03/2026</t>
  </si>
  <si>
    <t>12/03/2026</t>
  </si>
  <si>
    <t>25/01/2026</t>
  </si>
  <si>
    <t>Bongor</t>
  </si>
  <si>
    <t>Mayo-Kebbi Est</t>
  </si>
  <si>
    <t>13/03/2026</t>
  </si>
  <si>
    <t>24/03/2026</t>
  </si>
  <si>
    <t>Abéché</t>
  </si>
  <si>
    <t>Ouaddaï</t>
  </si>
  <si>
    <t>TABLEAU DE BORD</t>
  </si>
  <si>
    <t>Étiquettes de lignes</t>
  </si>
  <si>
    <t>Somme de Quantité</t>
  </si>
  <si>
    <t>Total général</t>
  </si>
  <si>
    <t>Somme de Chiffre d'affaire</t>
  </si>
  <si>
    <t>Somme de Bénéfice</t>
  </si>
  <si>
    <t>X</t>
  </si>
  <si>
    <t>Y</t>
  </si>
  <si>
    <t>CA</t>
  </si>
  <si>
    <t>Max</t>
  </si>
  <si>
    <t>Abakar Ali</t>
  </si>
  <si>
    <t>Moussa Mht</t>
  </si>
  <si>
    <t>Adoum Moussa</t>
  </si>
  <si>
    <t>Zara Ali</t>
  </si>
  <si>
    <t>Hawa Abdallah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</si>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</sst>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_-* #,##0\ _€_-;\-* #,##0\ _€_-;_-* &quot;-&quot;\ _€_-;_-@_-"/>
    <numFmt numFmtId="166" formatCode="[$-F800]dddd\,\ mmmm\ dd\,\ yyyy"/>
    <numFmt numFmtId="167" formatCode="_-* #,##0\ [$CFA-300C]_-;\-* #,##0\ [$CFA-300C]_-;_-* &quot;-&quot;\ [$CFA-300C]_-;_-@_-"/>
  </numFmts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6"/>
      <color theme="0"/>
      <name val="Arial"/>
      <family val="2"/>
    </font>
    <font>
      <sz val="14"/>
      <color theme="3"/>
      <name val="Arial Black"/>
      <family val="2"/>
    </font>
    <font>
      <sz val="16"/>
      <color theme="3"/>
      <name val="Arial Black"/>
      <family val="2"/>
    </font>
    <font>
      <sz val="18"/>
      <color theme="3"/>
      <name val="Arial Black"/>
      <family val="2"/>
    </font>
    <font>
      <sz val="20"/>
      <color theme="3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166" fontId="0" fillId="0" borderId="0" xfId="0" applyNumberFormat="1"/>
    <xf numFmtId="166" fontId="0" fillId="0" borderId="0" xfId="0" pivotButton="1" applyNumberFormat="1"/>
    <xf numFmtId="166" fontId="0" fillId="0" borderId="0" xfId="0" applyNumberFormat="1" applyAlignment="1">
      <alignment horizontal="left"/>
    </xf>
    <xf numFmtId="14" fontId="1" fillId="2" borderId="0" xfId="0" applyNumberFormat="1" applyFont="1" applyFill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0" fontId="0" fillId="0" borderId="0" xfId="0"/>
    <xf numFmtId="167" fontId="1" fillId="2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167" formatCode="_-* #,##0\ [$CFA-300C]_-;\-* #,##0\ [$CFA-300C]_-;_-* &quot;-&quot;\ [$CFA-300C]_-;_-@_-"/>
      <alignment horizontal="center" vertical="bottom" textRotation="0" wrapText="0" indent="0" justifyLastLine="0" shrinkToFit="0" readingOrder="0"/>
    </dxf>
    <dxf>
      <numFmt numFmtId="167" formatCode="_-* #,##0\ [$CFA-300C]_-;\-* #,##0\ [$CFA-300C]_-;_-* &quot;-&quot;\ [$CFA-300C]_-;_-@_-"/>
      <alignment horizontal="center" vertical="bottom" textRotation="0" wrapText="0" indent="0" justifyLastLine="0" shrinkToFit="0" readingOrder="0"/>
    </dxf>
    <dxf>
      <numFmt numFmtId="167" formatCode="_-* #,##0\ [$CFA-300C]_-;\-* #,##0\ [$CFA-300C]_-;_-* &quot;-&quot;\ [$CFA-300C]_-;_-@_-"/>
      <alignment horizontal="center" vertical="bottom" textRotation="0" wrapText="0" indent="0" justifyLastLine="0" shrinkToFit="0" readingOrder="0"/>
    </dxf>
    <dxf>
      <numFmt numFmtId="19" formatCode="dd/mm/yyyy"/>
    </dxf>
    <dxf>
      <numFmt numFmtId="166" formatCode="[$-F800]dddd\,\ mmmm\ dd\,\ yyyy"/>
    </dxf>
    <dxf>
      <numFmt numFmtId="166" formatCode="[$-F800]dddd\,\ mmmm\ dd\,\ yyyy"/>
    </dxf>
    <dxf>
      <numFmt numFmtId="164" formatCode="#,##0\ &quot;€&quot;"/>
    </dxf>
    <dxf>
      <numFmt numFmtId="13" formatCode="0%"/>
    </dxf>
    <dxf>
      <numFmt numFmtId="13" formatCode="0%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CA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xVal>
            <c:numRef>
              <c:f>Traitement!$B$25:$B$34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6.2</c:v>
                </c:pt>
                <c:pt idx="3">
                  <c:v>4</c:v>
                </c:pt>
                <c:pt idx="4">
                  <c:v>6</c:v>
                </c:pt>
                <c:pt idx="5">
                  <c:v>6.5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Traitement!$C$25:$C$34</c:f>
              <c:numCache>
                <c:formatCode>General</c:formatCode>
                <c:ptCount val="10"/>
                <c:pt idx="0">
                  <c:v>4.8</c:v>
                </c:pt>
                <c:pt idx="1">
                  <c:v>5.5</c:v>
                </c:pt>
                <c:pt idx="2">
                  <c:v>2</c:v>
                </c:pt>
                <c:pt idx="3">
                  <c:v>2</c:v>
                </c:pt>
                <c:pt idx="4">
                  <c:v>7</c:v>
                </c:pt>
                <c:pt idx="5">
                  <c:v>2.8</c:v>
                </c:pt>
                <c:pt idx="6">
                  <c:v>1.5</c:v>
                </c:pt>
                <c:pt idx="7">
                  <c:v>3.5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bubbleSize>
            <c:numRef>
              <c:f>Traitement!$D$25:$D$34</c:f>
              <c:numCache>
                <c:formatCode>General</c:formatCode>
                <c:ptCount val="10"/>
                <c:pt idx="0">
                  <c:v>106940</c:v>
                </c:pt>
                <c:pt idx="1">
                  <c:v>103980</c:v>
                </c:pt>
                <c:pt idx="2">
                  <c:v>325208</c:v>
                </c:pt>
                <c:pt idx="3">
                  <c:v>310290</c:v>
                </c:pt>
                <c:pt idx="4">
                  <c:v>59934</c:v>
                </c:pt>
                <c:pt idx="5">
                  <c:v>842770</c:v>
                </c:pt>
                <c:pt idx="6">
                  <c:v>205530</c:v>
                </c:pt>
                <c:pt idx="7">
                  <c:v>111846</c:v>
                </c:pt>
                <c:pt idx="8">
                  <c:v>16425</c:v>
                </c:pt>
                <c:pt idx="9">
                  <c:v>909458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9C3-4B00-80BC-034C043EA62B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xVal>
            <c:numRef>
              <c:f>Traitement!$B$25:$B$34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6.2</c:v>
                </c:pt>
                <c:pt idx="3">
                  <c:v>4</c:v>
                </c:pt>
                <c:pt idx="4">
                  <c:v>6</c:v>
                </c:pt>
                <c:pt idx="5">
                  <c:v>6.5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Traitement!$C$25:$C$34</c:f>
              <c:numCache>
                <c:formatCode>General</c:formatCode>
                <c:ptCount val="10"/>
                <c:pt idx="0">
                  <c:v>4.8</c:v>
                </c:pt>
                <c:pt idx="1">
                  <c:v>5.5</c:v>
                </c:pt>
                <c:pt idx="2">
                  <c:v>2</c:v>
                </c:pt>
                <c:pt idx="3">
                  <c:v>2</c:v>
                </c:pt>
                <c:pt idx="4">
                  <c:v>7</c:v>
                </c:pt>
                <c:pt idx="5">
                  <c:v>2.8</c:v>
                </c:pt>
                <c:pt idx="6">
                  <c:v>1.5</c:v>
                </c:pt>
                <c:pt idx="7">
                  <c:v>3.5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bubbleSize>
            <c:numRef>
              <c:f>Traitement!$E$25:$E$34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909458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39C3-4B00-80BC-034C043E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29836815"/>
        <c:axId val="29835375"/>
      </c:bubbleChart>
      <c:valAx>
        <c:axId val="29836815"/>
        <c:scaling>
          <c:orientation val="minMax"/>
          <c:max val="12"/>
          <c:min val="1"/>
        </c:scaling>
        <c:delete val="1"/>
        <c:axPos val="b"/>
        <c:numFmt formatCode="General" sourceLinked="1"/>
        <c:majorTickMark val="none"/>
        <c:minorTickMark val="none"/>
        <c:tickLblPos val="nextTo"/>
        <c:crossAx val="29835375"/>
        <c:crosses val="autoZero"/>
        <c:crossBetween val="midCat"/>
        <c:majorUnit val="1"/>
      </c:valAx>
      <c:valAx>
        <c:axId val="29835375"/>
        <c:scaling>
          <c:orientation val="minMax"/>
          <c:max val="12"/>
        </c:scaling>
        <c:delete val="1"/>
        <c:axPos val="l"/>
        <c:numFmt formatCode="General" sourceLinked="1"/>
        <c:majorTickMark val="none"/>
        <c:minorTickMark val="none"/>
        <c:tickLblPos val="nextTo"/>
        <c:crossAx val="29836815"/>
        <c:crosses val="autoZero"/>
        <c:crossBetween val="midCat"/>
        <c:majorUnit val="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28575" cap="flat" cmpd="sng" algn="ctr">
      <a:solidFill>
        <a:schemeClr val="tx2"/>
      </a:solidFill>
      <a:prstDash val="sys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[ventes_tchad.xlsx]Traitement!CA_Date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oval"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oval"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  <a:headEnd type="oval"/>
            <a:tailEnd type="triangl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Traitement!$K$18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oval"/>
              <a:tailEnd type="triangle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Traitement!$J$19:$J$36</c:f>
              <c:strCache>
                <c:ptCount val="17"/>
                <c:pt idx="0">
                  <c:v>02/02/2026</c:v>
                </c:pt>
                <c:pt idx="1">
                  <c:v>02/04/2026</c:v>
                </c:pt>
                <c:pt idx="2">
                  <c:v>04/01/2026</c:v>
                </c:pt>
                <c:pt idx="3">
                  <c:v>04/03/2026</c:v>
                </c:pt>
                <c:pt idx="4">
                  <c:v>06/02/2026</c:v>
                </c:pt>
                <c:pt idx="5">
                  <c:v>10/03/2026</c:v>
                </c:pt>
                <c:pt idx="6">
                  <c:v>12/03/2026</c:v>
                </c:pt>
                <c:pt idx="7">
                  <c:v>13/03/2026</c:v>
                </c:pt>
                <c:pt idx="8">
                  <c:v>15/03/2026</c:v>
                </c:pt>
                <c:pt idx="9">
                  <c:v>17/01/2026</c:v>
                </c:pt>
                <c:pt idx="10">
                  <c:v>19/03/2026</c:v>
                </c:pt>
                <c:pt idx="11">
                  <c:v>20/02/2026</c:v>
                </c:pt>
                <c:pt idx="12">
                  <c:v>22/01/2026</c:v>
                </c:pt>
                <c:pt idx="13">
                  <c:v>24/03/2026</c:v>
                </c:pt>
                <c:pt idx="14">
                  <c:v>25/01/2026</c:v>
                </c:pt>
                <c:pt idx="15">
                  <c:v>25/02/2026</c:v>
                </c:pt>
                <c:pt idx="16">
                  <c:v>27/01/2026</c:v>
                </c:pt>
              </c:strCache>
            </c:strRef>
          </c:cat>
          <c:val>
            <c:numRef>
              <c:f>Traitement!$K$19:$K$36</c:f>
              <c:numCache>
                <c:formatCode>General</c:formatCode>
                <c:ptCount val="17"/>
                <c:pt idx="0">
                  <c:v>30636</c:v>
                </c:pt>
                <c:pt idx="1">
                  <c:v>8217</c:v>
                </c:pt>
                <c:pt idx="2">
                  <c:v>344432</c:v>
                </c:pt>
                <c:pt idx="3">
                  <c:v>366263</c:v>
                </c:pt>
                <c:pt idx="4">
                  <c:v>385495</c:v>
                </c:pt>
                <c:pt idx="5">
                  <c:v>103980</c:v>
                </c:pt>
                <c:pt idx="6">
                  <c:v>188993</c:v>
                </c:pt>
                <c:pt idx="7">
                  <c:v>21327</c:v>
                </c:pt>
                <c:pt idx="8">
                  <c:v>8208</c:v>
                </c:pt>
                <c:pt idx="9">
                  <c:v>221976</c:v>
                </c:pt>
                <c:pt idx="10">
                  <c:v>140049</c:v>
                </c:pt>
                <c:pt idx="11">
                  <c:v>183552</c:v>
                </c:pt>
                <c:pt idx="12">
                  <c:v>430619</c:v>
                </c:pt>
                <c:pt idx="13">
                  <c:v>358440</c:v>
                </c:pt>
                <c:pt idx="14">
                  <c:v>132075</c:v>
                </c:pt>
                <c:pt idx="15">
                  <c:v>59934</c:v>
                </c:pt>
                <c:pt idx="16">
                  <c:v>8185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7C-4B0E-9951-C1A65DCFC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74845247"/>
        <c:axId val="474823167"/>
      </c:lineChart>
      <c:catAx>
        <c:axId val="47484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4823167"/>
        <c:crosses val="autoZero"/>
        <c:auto val="1"/>
        <c:lblAlgn val="ctr"/>
        <c:lblOffset val="100"/>
        <c:noMultiLvlLbl val="0"/>
      </c:catAx>
      <c:valAx>
        <c:axId val="474823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48452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2"/>
      </a:solidFill>
      <a:prstDash val="sys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[ventes_tchad.xlsx]Traitement!CA_Commerciaux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Traitement!$D$10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Traitement!$C$11:$C$16</c:f>
              <c:strCache>
                <c:ptCount val="5"/>
                <c:pt idx="0">
                  <c:v>Ali</c:v>
                </c:pt>
                <c:pt idx="1">
                  <c:v>Amina</c:v>
                </c:pt>
                <c:pt idx="2">
                  <c:v>Fatimé</c:v>
                </c:pt>
                <c:pt idx="3">
                  <c:v>Hassan</c:v>
                </c:pt>
                <c:pt idx="4">
                  <c:v>Moussa</c:v>
                </c:pt>
              </c:strCache>
            </c:strRef>
          </c:cat>
          <c:val>
            <c:numRef>
              <c:f>Traitement!$D$11:$D$16</c:f>
              <c:numCache>
                <c:formatCode>General</c:formatCode>
                <c:ptCount val="5"/>
                <c:pt idx="0">
                  <c:v>402278</c:v>
                </c:pt>
                <c:pt idx="1">
                  <c:v>702872</c:v>
                </c:pt>
                <c:pt idx="2">
                  <c:v>298709</c:v>
                </c:pt>
                <c:pt idx="3">
                  <c:v>199983</c:v>
                </c:pt>
                <c:pt idx="4">
                  <c:v>1388539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6-481A-A61E-A4CDC8403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371555503"/>
        <c:axId val="371543023"/>
      </c:barChart>
      <c:catAx>
        <c:axId val="371555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1543023"/>
        <c:crosses val="autoZero"/>
        <c:auto val="1"/>
        <c:lblAlgn val="ctr"/>
        <c:lblOffset val="100"/>
        <c:noMultiLvlLbl val="0"/>
      </c:catAx>
      <c:valAx>
        <c:axId val="371543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155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[ventes_tchad.xlsx]Traitement!Tableau croisé dynamique5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Traitement!$G$10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7B-4702-A078-D6EC971325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7B-4702-A078-D6EC971325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7B-4702-A078-D6EC971325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Traitement!$F$11:$F$14</c:f>
              <c:strCache>
                <c:ptCount val="3"/>
                <c:pt idx="0">
                  <c:v>Hawa Abdallah</c:v>
                </c:pt>
                <c:pt idx="1">
                  <c:v>Abakar Ali</c:v>
                </c:pt>
                <c:pt idx="2">
                  <c:v>Zara Ali</c:v>
                </c:pt>
              </c:strCache>
            </c:strRef>
          </c:cat>
          <c:val>
            <c:numRef>
              <c:f>Traitement!$G$11:$G$14</c:f>
              <c:numCache>
                <c:formatCode>General</c:formatCode>
                <c:ptCount val="3"/>
                <c:pt idx="0">
                  <c:v>701435</c:v>
                </c:pt>
                <c:pt idx="1">
                  <c:v>644112</c:v>
                </c:pt>
                <c:pt idx="2">
                  <c:v>820248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7B-4702-A078-D6EC9713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Junk</c:v>
          </c:tx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33-4940-8D61-16A7FE174533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33-4940-8D61-16A7FE174533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33-4940-8D61-16A7FE174533}"/>
              </c:ext>
            </c:extLst>
          </c:dPt>
          <c:dPt>
            <c:idx val="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33-4940-8D61-16A7FE174533}"/>
              </c:ext>
            </c:extLst>
          </c:dPt>
          <c:dPt>
            <c:idx val="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33-4940-8D61-16A7FE174533}"/>
              </c:ext>
            </c:extLst>
          </c:dPt>
          <c:dPt>
            <c:idx val="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33-4940-8D61-16A7FE174533}"/>
              </c:ext>
            </c:extLst>
          </c:dPt>
          <c:dPt>
            <c:idx val="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33-4940-8D61-16A7FE174533}"/>
              </c:ext>
            </c:extLst>
          </c:dPt>
          <c:dPt>
            <c:idx val="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33-4940-8D61-16A7FE174533}"/>
              </c:ext>
            </c:extLst>
          </c:dPt>
          <c:dPt>
            <c:idx val="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33-4940-8D61-16A7FE1745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33-4940-8D61-16A7FE174533}"/>
              </c:ext>
            </c:extLst>
          </c:dPt>
          <c:dPt>
            <c:idx val="1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D33-4940-8D61-16A7FE174533}"/>
              </c:ext>
            </c:extLst>
          </c:dPt>
          <c:dPt>
            <c:idx val="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D33-4940-8D61-16A7FE174533}"/>
              </c:ext>
            </c:extLst>
          </c:dPt>
          <c:dPt>
            <c:idx val="1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D33-4940-8D61-16A7FE174533}"/>
              </c:ext>
            </c:extLst>
          </c:dPt>
          <c:dPt>
            <c:idx val="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D33-4940-8D61-16A7FE174533}"/>
              </c:ext>
            </c:extLst>
          </c:dPt>
          <c:dPt>
            <c:idx val="1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D33-4940-8D61-16A7FE17453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D33-4940-8D61-16A7FE174533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D33-4940-8D61-16A7FE174533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D33-4940-8D61-16A7FE174533}"/>
              </c:ext>
            </c:extLst>
          </c:dPt>
          <c:dPt>
            <c:idx val="1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D33-4940-8D61-16A7FE174533}"/>
              </c:ext>
            </c:extLst>
          </c:dPt>
          <c:dPt>
            <c:idx val="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D33-4940-8D61-16A7FE174533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ED33-4940-8D61-16A7FE174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Huile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D33-4940-8D61-16A7FE17453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D33-4940-8D61-16A7FE174533}"/>
              </c:ext>
            </c:extLst>
          </c:dPt>
          <c:val>
            <c:numRef>
              <c:f>Traitement!$G$18:$H$18</c:f>
              <c:numCache>
                <c:formatCode>0%</c:formatCode>
                <c:ptCount val="2"/>
                <c:pt idx="0">
                  <c:v>0.24693279365161053</c:v>
                </c:pt>
                <c:pt idx="1">
                  <c:v>0.75306720634838942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D33-4940-8D61-16A7FE174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tx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Junk</c:v>
          </c:tx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06-411D-832C-AC6E1A8336A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06-411D-832C-AC6E1A8336AF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06-411D-832C-AC6E1A8336AF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06-411D-832C-AC6E1A8336AF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06-411D-832C-AC6E1A8336AF}"/>
              </c:ext>
            </c:extLst>
          </c:dPt>
          <c:dPt>
            <c:idx val="5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06-411D-832C-AC6E1A8336AF}"/>
              </c:ext>
            </c:extLst>
          </c:dPt>
          <c:dPt>
            <c:idx val="6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06-411D-832C-AC6E1A8336A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06-411D-832C-AC6E1A8336AF}"/>
              </c:ext>
            </c:extLst>
          </c:dPt>
          <c:dPt>
            <c:idx val="8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06-411D-832C-AC6E1A8336AF}"/>
              </c:ext>
            </c:extLst>
          </c:dPt>
          <c:dPt>
            <c:idx val="9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06-411D-832C-AC6E1A8336AF}"/>
              </c:ext>
            </c:extLst>
          </c:dPt>
          <c:dPt>
            <c:idx val="1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D06-411D-832C-AC6E1A8336AF}"/>
              </c:ext>
            </c:extLst>
          </c:dPt>
          <c:dPt>
            <c:idx val="1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D06-411D-832C-AC6E1A8336AF}"/>
              </c:ext>
            </c:extLst>
          </c:dPt>
          <c:dPt>
            <c:idx val="1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D06-411D-832C-AC6E1A8336AF}"/>
              </c:ext>
            </c:extLst>
          </c:dPt>
          <c:dPt>
            <c:idx val="1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D06-411D-832C-AC6E1A8336AF}"/>
              </c:ext>
            </c:extLst>
          </c:dPt>
          <c:dPt>
            <c:idx val="1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D06-411D-832C-AC6E1A8336AF}"/>
              </c:ext>
            </c:extLst>
          </c:dPt>
          <c:dPt>
            <c:idx val="15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D06-411D-832C-AC6E1A8336AF}"/>
              </c:ext>
            </c:extLst>
          </c:dPt>
          <c:dPt>
            <c:idx val="16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D06-411D-832C-AC6E1A8336AF}"/>
              </c:ext>
            </c:extLst>
          </c:dPt>
          <c:dPt>
            <c:idx val="1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D06-411D-832C-AC6E1A8336AF}"/>
              </c:ext>
            </c:extLst>
          </c:dPt>
          <c:dPt>
            <c:idx val="18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D06-411D-832C-AC6E1A8336AF}"/>
              </c:ext>
            </c:extLst>
          </c:dPt>
          <c:dPt>
            <c:idx val="19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D06-411D-832C-AC6E1A8336AF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9D06-411D-832C-AC6E1A833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Farine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9D06-411D-832C-AC6E1A8336A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9D06-411D-832C-AC6E1A8336AF}"/>
              </c:ext>
            </c:extLst>
          </c:dPt>
          <c:val>
            <c:numRef>
              <c:f>Traitement!$G$17:$H$17</c:f>
              <c:numCache>
                <c:formatCode>0%</c:formatCode>
                <c:ptCount val="2"/>
                <c:pt idx="0">
                  <c:v>2.7138923820195355E-2</c:v>
                </c:pt>
                <c:pt idx="1">
                  <c:v>0.97286107617980466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D06-411D-832C-AC6E1A833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solidFill>
        <a:schemeClr val="tx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Junk</c:v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D1-47D1-A5A4-7508BF4FBD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D1-47D1-A5A4-7508BF4FBD2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D1-47D1-A5A4-7508BF4FBD2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D1-47D1-A5A4-7508BF4FBD29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D1-47D1-A5A4-7508BF4FBD29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D1-47D1-A5A4-7508BF4FBD29}"/>
              </c:ext>
            </c:extLst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D1-47D1-A5A4-7508BF4FBD29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D1-47D1-A5A4-7508BF4FBD29}"/>
              </c:ext>
            </c:extLst>
          </c:dPt>
          <c:dPt>
            <c:idx val="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ED1-47D1-A5A4-7508BF4FBD29}"/>
              </c:ext>
            </c:extLst>
          </c:dPt>
          <c:dPt>
            <c:idx val="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ED1-47D1-A5A4-7508BF4FBD29}"/>
              </c:ext>
            </c:extLst>
          </c:dPt>
          <c:dPt>
            <c:idx val="1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ED1-47D1-A5A4-7508BF4FBD29}"/>
              </c:ext>
            </c:extLst>
          </c:dPt>
          <c:dPt>
            <c:idx val="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ED1-47D1-A5A4-7508BF4FBD29}"/>
              </c:ext>
            </c:extLst>
          </c:dPt>
          <c:dPt>
            <c:idx val="1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ED1-47D1-A5A4-7508BF4FBD29}"/>
              </c:ext>
            </c:extLst>
          </c:dPt>
          <c:dPt>
            <c:idx val="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ED1-47D1-A5A4-7508BF4FBD29}"/>
              </c:ext>
            </c:extLst>
          </c:dPt>
          <c:dPt>
            <c:idx val="1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ED1-47D1-A5A4-7508BF4FBD29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ED1-47D1-A5A4-7508BF4FBD29}"/>
              </c:ext>
            </c:extLst>
          </c:dPt>
          <c:dPt>
            <c:idx val="1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ED1-47D1-A5A4-7508BF4FBD29}"/>
              </c:ext>
            </c:extLst>
          </c:dPt>
          <c:dPt>
            <c:idx val="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ED1-47D1-A5A4-7508BF4FBD29}"/>
              </c:ext>
            </c:extLst>
          </c:dPt>
          <c:dPt>
            <c:idx val="1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ED1-47D1-A5A4-7508BF4FBD29}"/>
              </c:ext>
            </c:extLst>
          </c:dPt>
          <c:dPt>
            <c:idx val="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ED1-47D1-A5A4-7508BF4FBD29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8ED1-47D1-A5A4-7508BF4FB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Riz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ED1-47D1-A5A4-7508BF4FBD29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  <a:alpha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8ED1-47D1-A5A4-7508BF4FBD29}"/>
              </c:ext>
            </c:extLst>
          </c:dPt>
          <c:val>
            <c:numRef>
              <c:f>Traitement!$G$19:$H$19</c:f>
              <c:numCache>
                <c:formatCode>0%</c:formatCode>
                <c:ptCount val="2"/>
                <c:pt idx="0">
                  <c:v>0.26754280287169313</c:v>
                </c:pt>
                <c:pt idx="1">
                  <c:v>0.73245719712830692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ED1-47D1-A5A4-7508BF4FB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tx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Junk</c:v>
          </c:tx>
          <c:spPr>
            <a:solidFill>
              <a:schemeClr val="accent3"/>
            </a:solidFill>
          </c:spPr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1D-461A-A8E5-D2A07BC4233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1D-461A-A8E5-D2A07BC423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1D-461A-A8E5-D2A07BC4233E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1D-461A-A8E5-D2A07BC4233E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1D-461A-A8E5-D2A07BC4233E}"/>
              </c:ext>
            </c:extLst>
          </c:dPt>
          <c:dPt>
            <c:idx val="5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1D-461A-A8E5-D2A07BC4233E}"/>
              </c:ext>
            </c:extLst>
          </c:dPt>
          <c:dPt>
            <c:idx val="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1D-461A-A8E5-D2A07BC4233E}"/>
              </c:ext>
            </c:extLst>
          </c:dPt>
          <c:dPt>
            <c:idx val="7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1D-461A-A8E5-D2A07BC4233E}"/>
              </c:ext>
            </c:extLst>
          </c:dPt>
          <c:dPt>
            <c:idx val="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1D-461A-A8E5-D2A07BC4233E}"/>
              </c:ext>
            </c:extLst>
          </c:dPt>
          <c:dPt>
            <c:idx val="9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1D-461A-A8E5-D2A07BC4233E}"/>
              </c:ext>
            </c:extLst>
          </c:dPt>
          <c:dPt>
            <c:idx val="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A1D-461A-A8E5-D2A07BC4233E}"/>
              </c:ext>
            </c:extLst>
          </c:dPt>
          <c:dPt>
            <c:idx val="1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A1D-461A-A8E5-D2A07BC4233E}"/>
              </c:ext>
            </c:extLst>
          </c:dPt>
          <c:dPt>
            <c:idx val="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A1D-461A-A8E5-D2A07BC4233E}"/>
              </c:ext>
            </c:extLst>
          </c:dPt>
          <c:dPt>
            <c:idx val="1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A1D-461A-A8E5-D2A07BC4233E}"/>
              </c:ext>
            </c:extLst>
          </c:dPt>
          <c:dPt>
            <c:idx val="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A1D-461A-A8E5-D2A07BC4233E}"/>
              </c:ext>
            </c:extLst>
          </c:dPt>
          <c:dPt>
            <c:idx val="15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A1D-461A-A8E5-D2A07BC4233E}"/>
              </c:ext>
            </c:extLst>
          </c:dPt>
          <c:dPt>
            <c:idx val="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A1D-461A-A8E5-D2A07BC4233E}"/>
              </c:ext>
            </c:extLst>
          </c:dPt>
          <c:dPt>
            <c:idx val="17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A1D-461A-A8E5-D2A07BC4233E}"/>
              </c:ext>
            </c:extLst>
          </c:dPt>
          <c:dPt>
            <c:idx val="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A1D-461A-A8E5-D2A07BC4233E}"/>
              </c:ext>
            </c:extLst>
          </c:dPt>
          <c:dPt>
            <c:idx val="19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A1D-461A-A8E5-D2A07BC4233E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4A1D-461A-A8E5-D2A07BC42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Savon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A1D-461A-A8E5-D2A07BC4233E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60000"/>
                </a:schemeClr>
              </a:solidFill>
              <a:ln w="19050">
                <a:solidFill>
                  <a:schemeClr val="tx1">
                    <a:lumMod val="15000"/>
                    <a:lumOff val="85000"/>
                    <a:alpha val="71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4A1D-461A-A8E5-D2A07BC4233E}"/>
              </c:ext>
            </c:extLst>
          </c:dPt>
          <c:val>
            <c:numRef>
              <c:f>Traitement!$G$20:$H$20</c:f>
              <c:numCache>
                <c:formatCode>0%</c:formatCode>
                <c:ptCount val="2"/>
                <c:pt idx="0">
                  <c:v>0.37707798572441142</c:v>
                </c:pt>
                <c:pt idx="1">
                  <c:v>0.62292201427558858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A1D-461A-A8E5-D2A07BC42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solidFill>
        <a:schemeClr val="tx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Junk</c:v>
          </c:tx>
          <c:spPr>
            <a:solidFill>
              <a:schemeClr val="accent5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6A-4B89-B540-F1681CF3716A}"/>
              </c:ext>
            </c:extLst>
          </c:dPt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6A-4B89-B540-F1681CF3716A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6A-4B89-B540-F1681CF3716A}"/>
              </c:ext>
            </c:extLst>
          </c:dPt>
          <c:dPt>
            <c:idx val="3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6A-4B89-B540-F1681CF3716A}"/>
              </c:ext>
            </c:extLst>
          </c:dPt>
          <c:dPt>
            <c:idx val="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6A-4B89-B540-F1681CF3716A}"/>
              </c:ext>
            </c:extLst>
          </c:dPt>
          <c:dPt>
            <c:idx val="5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66A-4B89-B540-F1681CF3716A}"/>
              </c:ext>
            </c:extLst>
          </c:dPt>
          <c:dPt>
            <c:idx val="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66A-4B89-B540-F1681CF3716A}"/>
              </c:ext>
            </c:extLst>
          </c:dPt>
          <c:dPt>
            <c:idx val="7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66A-4B89-B540-F1681CF3716A}"/>
              </c:ext>
            </c:extLst>
          </c:dPt>
          <c:dPt>
            <c:idx val="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66A-4B89-B540-F1681CF3716A}"/>
              </c:ext>
            </c:extLst>
          </c:dPt>
          <c:dPt>
            <c:idx val="9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66A-4B89-B540-F1681CF3716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66A-4B89-B540-F1681CF3716A}"/>
              </c:ext>
            </c:extLst>
          </c:dPt>
          <c:dPt>
            <c:idx val="11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66A-4B89-B540-F1681CF3716A}"/>
              </c:ext>
            </c:extLst>
          </c:dPt>
          <c:dPt>
            <c:idx val="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66A-4B89-B540-F1681CF3716A}"/>
              </c:ext>
            </c:extLst>
          </c:dPt>
          <c:dPt>
            <c:idx val="13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66A-4B89-B540-F1681CF3716A}"/>
              </c:ext>
            </c:extLst>
          </c:dPt>
          <c:dPt>
            <c:idx val="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66A-4B89-B540-F1681CF3716A}"/>
              </c:ext>
            </c:extLst>
          </c:dPt>
          <c:dPt>
            <c:idx val="15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66A-4B89-B540-F1681CF3716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66A-4B89-B540-F1681CF3716A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66A-4B89-B540-F1681CF3716A}"/>
              </c:ext>
            </c:extLst>
          </c:dPt>
          <c:dPt>
            <c:idx val="1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66A-4B89-B540-F1681CF3716A}"/>
              </c:ext>
            </c:extLst>
          </c:dPt>
          <c:dPt>
            <c:idx val="19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66A-4B89-B540-F1681CF3716A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B66A-4B89-B540-F1681CF37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Sucre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B66A-4B89-B540-F1681CF3716A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B66A-4B89-B540-F1681CF3716A}"/>
              </c:ext>
            </c:extLst>
          </c:dPt>
          <c:val>
            <c:numRef>
              <c:f>Traitement!$G$21:$H$21</c:f>
              <c:numCache>
                <c:formatCode>0%</c:formatCode>
                <c:ptCount val="2"/>
                <c:pt idx="0">
                  <c:v>8.1307493932089525E-2</c:v>
                </c:pt>
                <c:pt idx="1">
                  <c:v>0.91869250606791053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66A-4B89-B540-F1681CF37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8575" cap="flat" cmpd="sng" algn="ctr">
      <a:solidFill>
        <a:schemeClr val="tx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5</xdr:row>
      <xdr:rowOff>38100</xdr:rowOff>
    </xdr:from>
    <xdr:to>
      <xdr:col>5</xdr:col>
      <xdr:colOff>95250</xdr:colOff>
      <xdr:row>7</xdr:row>
      <xdr:rowOff>88900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07881B-1152-0321-A380-9626004BA037}"/>
            </a:ext>
          </a:extLst>
        </xdr:cNvPr>
        <xdr:cNvSpPr/>
      </xdr:nvSpPr>
      <xdr:spPr>
        <a:xfrm>
          <a:off x="400050" y="736600"/>
          <a:ext cx="1663700" cy="3302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bg1"/>
              </a:solidFill>
            </a:rPr>
            <a:t>Chiffre d'affaire </a:t>
          </a:r>
        </a:p>
      </xdr:txBody>
    </xdr:sp>
    <xdr:clientData/>
  </xdr:twoCellAnchor>
  <xdr:twoCellAnchor>
    <xdr:from>
      <xdr:col>1</xdr:col>
      <xdr:colOff>228600</xdr:colOff>
      <xdr:row>5</xdr:row>
      <xdr:rowOff>63500</xdr:rowOff>
    </xdr:from>
    <xdr:to>
      <xdr:col>5</xdr:col>
      <xdr:colOff>177800</xdr:colOff>
      <xdr:row>11</xdr:row>
      <xdr:rowOff>44450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5321ED-F022-BE57-DBB3-BC034E9F9B65}"/>
            </a:ext>
          </a:extLst>
        </xdr:cNvPr>
        <xdr:cNvSpPr/>
      </xdr:nvSpPr>
      <xdr:spPr>
        <a:xfrm>
          <a:off x="622300" y="762000"/>
          <a:ext cx="1524000" cy="819150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152400</xdr:colOff>
      <xdr:row>5</xdr:row>
      <xdr:rowOff>38100</xdr:rowOff>
    </xdr:from>
    <xdr:to>
      <xdr:col>5</xdr:col>
      <xdr:colOff>241300</xdr:colOff>
      <xdr:row>7</xdr:row>
      <xdr:rowOff>88900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35DDF2C-16EB-8E8F-2D4F-C57969101CF3}"/>
            </a:ext>
          </a:extLst>
        </xdr:cNvPr>
        <xdr:cNvSpPr/>
      </xdr:nvSpPr>
      <xdr:spPr>
        <a:xfrm>
          <a:off x="546100" y="736600"/>
          <a:ext cx="1663700" cy="3302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bg1"/>
              </a:solidFill>
            </a:rPr>
            <a:t>Chiffre d'affaire </a:t>
          </a:r>
        </a:p>
      </xdr:txBody>
    </xdr:sp>
    <xdr:clientData/>
  </xdr:twoCellAnchor>
  <xdr:twoCellAnchor>
    <xdr:from>
      <xdr:col>6</xdr:col>
      <xdr:colOff>101600</xdr:colOff>
      <xdr:row>5</xdr:row>
      <xdr:rowOff>63500</xdr:rowOff>
    </xdr:from>
    <xdr:to>
      <xdr:col>10</xdr:col>
      <xdr:colOff>50800</xdr:colOff>
      <xdr:row>11</xdr:row>
      <xdr:rowOff>44450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7E6B2AA-9386-57F2-7330-990D84292805}"/>
            </a:ext>
          </a:extLst>
        </xdr:cNvPr>
        <xdr:cNvSpPr/>
      </xdr:nvSpPr>
      <xdr:spPr>
        <a:xfrm>
          <a:off x="2463800" y="762000"/>
          <a:ext cx="1524000" cy="819150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fr-FR" sz="1100"/>
        </a:p>
      </xdr:txBody>
    </xdr:sp>
    <xdr:clientData/>
  </xdr:twoCellAnchor>
  <xdr:twoCellAnchor>
    <xdr:from>
      <xdr:col>6</xdr:col>
      <xdr:colOff>25400</xdr:colOff>
      <xdr:row>5</xdr:row>
      <xdr:rowOff>38100</xdr:rowOff>
    </xdr:from>
    <xdr:to>
      <xdr:col>10</xdr:col>
      <xdr:colOff>114300</xdr:colOff>
      <xdr:row>7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1E2E02-7C2A-CE46-F5C8-239AE471C9DC}"/>
            </a:ext>
          </a:extLst>
        </xdr:cNvPr>
        <xdr:cNvSpPr/>
      </xdr:nvSpPr>
      <xdr:spPr>
        <a:xfrm>
          <a:off x="2387600" y="736600"/>
          <a:ext cx="1663700" cy="3302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bg1"/>
              </a:solidFill>
            </a:rPr>
            <a:t>Bénéfice </a:t>
          </a:r>
        </a:p>
      </xdr:txBody>
    </xdr:sp>
    <xdr:clientData/>
  </xdr:twoCellAnchor>
  <xdr:twoCellAnchor>
    <xdr:from>
      <xdr:col>11</xdr:col>
      <xdr:colOff>127000</xdr:colOff>
      <xdr:row>5</xdr:row>
      <xdr:rowOff>63500</xdr:rowOff>
    </xdr:from>
    <xdr:to>
      <xdr:col>15</xdr:col>
      <xdr:colOff>76200</xdr:colOff>
      <xdr:row>11</xdr:row>
      <xdr:rowOff>44450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57EC126-7B51-64AE-2104-869A7B86D330}"/>
            </a:ext>
          </a:extLst>
        </xdr:cNvPr>
        <xdr:cNvSpPr/>
      </xdr:nvSpPr>
      <xdr:spPr>
        <a:xfrm>
          <a:off x="5054600" y="762000"/>
          <a:ext cx="1524000" cy="1339850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298450</xdr:colOff>
      <xdr:row>5</xdr:row>
      <xdr:rowOff>38100</xdr:rowOff>
    </xdr:from>
    <xdr:to>
      <xdr:col>15</xdr:col>
      <xdr:colOff>349250</xdr:colOff>
      <xdr:row>7</xdr:row>
      <xdr:rowOff>88900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25CEE05-C25A-958D-2F11-E534DE15FEB6}"/>
            </a:ext>
          </a:extLst>
        </xdr:cNvPr>
        <xdr:cNvSpPr/>
      </xdr:nvSpPr>
      <xdr:spPr>
        <a:xfrm>
          <a:off x="4267200" y="752475"/>
          <a:ext cx="2035175" cy="33655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200" b="1" baseline="0">
              <a:solidFill>
                <a:schemeClr val="bg1"/>
              </a:solidFill>
            </a:rPr>
            <a:t>Total des Articles Vendu</a:t>
          </a:r>
          <a:endParaRPr lang="fr-F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279400</xdr:colOff>
      <xdr:row>14</xdr:row>
      <xdr:rowOff>25400</xdr:rowOff>
    </xdr:from>
    <xdr:to>
      <xdr:col>12</xdr:col>
      <xdr:colOff>330200</xdr:colOff>
      <xdr:row>38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41C9BEC-FD9B-41D7-833F-7272979C6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135467</xdr:colOff>
      <xdr:row>12</xdr:row>
      <xdr:rowOff>122767</xdr:rowOff>
    </xdr:from>
    <xdr:to>
      <xdr:col>9</xdr:col>
      <xdr:colOff>298450</xdr:colOff>
      <xdr:row>15</xdr:row>
      <xdr:rowOff>15182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A7F5925-99CC-4A23-8BBF-E27E0C1FB215}"/>
            </a:ext>
          </a:extLst>
        </xdr:cNvPr>
        <xdr:cNvSpPr/>
      </xdr:nvSpPr>
      <xdr:spPr>
        <a:xfrm>
          <a:off x="1722967" y="2345267"/>
          <a:ext cx="2734733" cy="32104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bg1"/>
              </a:solidFill>
            </a:rPr>
            <a:t>Chiffre d'affaire par Ville </a:t>
          </a:r>
        </a:p>
      </xdr:txBody>
    </xdr:sp>
    <xdr:clientData/>
  </xdr:twoCellAnchor>
  <xdr:twoCellAnchor>
    <xdr:from>
      <xdr:col>13</xdr:col>
      <xdr:colOff>25400</xdr:colOff>
      <xdr:row>14</xdr:row>
      <xdr:rowOff>76200</xdr:rowOff>
    </xdr:from>
    <xdr:to>
      <xdr:col>26</xdr:col>
      <xdr:colOff>50799</xdr:colOff>
      <xdr:row>38</xdr:row>
      <xdr:rowOff>38100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A56DB6C-5212-48A3-9152-CEC4EA09B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379272</xdr:colOff>
      <xdr:row>13</xdr:row>
      <xdr:rowOff>69193</xdr:rowOff>
    </xdr:from>
    <xdr:to>
      <xdr:col>22</xdr:col>
      <xdr:colOff>148116</xdr:colOff>
      <xdr:row>15</xdr:row>
      <xdr:rowOff>101308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634189D-DF0D-43F2-99BB-D6CC98E16DA5}"/>
            </a:ext>
          </a:extLst>
        </xdr:cNvPr>
        <xdr:cNvSpPr/>
      </xdr:nvSpPr>
      <xdr:spPr>
        <a:xfrm>
          <a:off x="7316647" y="2434568"/>
          <a:ext cx="2150094" cy="31786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bg1"/>
              </a:solidFill>
            </a:rPr>
            <a:t>Tendance</a:t>
          </a:r>
          <a:r>
            <a:rPr lang="fr-FR" sz="1400" b="1" baseline="0">
              <a:solidFill>
                <a:schemeClr val="bg1"/>
              </a:solidFill>
            </a:rPr>
            <a:t> de Ventes</a:t>
          </a:r>
          <a:r>
            <a:rPr lang="fr-FR" sz="1400" b="1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</xdr:col>
      <xdr:colOff>263072</xdr:colOff>
      <xdr:row>41</xdr:row>
      <xdr:rowOff>58058</xdr:rowOff>
    </xdr:from>
    <xdr:to>
      <xdr:col>13</xdr:col>
      <xdr:colOff>154214</xdr:colOff>
      <xdr:row>61</xdr:row>
      <xdr:rowOff>79830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F6780F05-32E7-45D1-AEF3-FEE8FCBDF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299356</xdr:colOff>
      <xdr:row>41</xdr:row>
      <xdr:rowOff>27213</xdr:rowOff>
    </xdr:from>
    <xdr:to>
      <xdr:col>25</xdr:col>
      <xdr:colOff>190499</xdr:colOff>
      <xdr:row>62</xdr:row>
      <xdr:rowOff>9070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979639AD-6BA7-462D-84A8-54921CB3F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127000</xdr:colOff>
      <xdr:row>14</xdr:row>
      <xdr:rowOff>50800</xdr:rowOff>
    </xdr:from>
    <xdr:to>
      <xdr:col>34</xdr:col>
      <xdr:colOff>174624</xdr:colOff>
      <xdr:row>36</xdr:row>
      <xdr:rowOff>25400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A37B304-7CF3-477B-9DDF-8725DF61A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241300</xdr:colOff>
      <xdr:row>22</xdr:row>
      <xdr:rowOff>127000</xdr:rowOff>
    </xdr:from>
    <xdr:to>
      <xdr:col>32</xdr:col>
      <xdr:colOff>114300</xdr:colOff>
      <xdr:row>26</xdr:row>
      <xdr:rowOff>114300</xdr:rowOff>
    </xdr:to>
    <xdr:sp macro="" textlink="Traitement!G18">
      <xdr:nvSpPr>
        <xdr:cNvPr id="16" name="ZoneTexte 15">
          <a:extLst>
            <a:ext uri="{FF2B5EF4-FFF2-40B4-BE49-F238E27FC236}">
              <a16:creationId xmlns:a16="http://schemas.microsoft.com/office/drawing/2014/main" id="{6C4ECC5D-ADF0-C9A8-ABEE-53C44A3A6B72}"/>
            </a:ext>
          </a:extLst>
        </xdr:cNvPr>
        <xdr:cNvSpPr txBox="1"/>
      </xdr:nvSpPr>
      <xdr:spPr>
        <a:xfrm>
          <a:off x="11941175" y="3778250"/>
          <a:ext cx="1460500" cy="558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CA90015-C681-4B2E-9184-58736CAD2E5A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25%</a:t>
          </a:fld>
          <a:endParaRPr lang="fr-FR" sz="2800" b="1"/>
        </a:p>
      </xdr:txBody>
    </xdr:sp>
    <xdr:clientData/>
  </xdr:twoCellAnchor>
  <xdr:twoCellAnchor>
    <xdr:from>
      <xdr:col>34</xdr:col>
      <xdr:colOff>342900</xdr:colOff>
      <xdr:row>14</xdr:row>
      <xdr:rowOff>114300</xdr:rowOff>
    </xdr:from>
    <xdr:to>
      <xdr:col>43</xdr:col>
      <xdr:colOff>12700</xdr:colOff>
      <xdr:row>35</xdr:row>
      <xdr:rowOff>114300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E0E0F16C-1C18-407A-85CE-C8F17E054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127000</xdr:colOff>
      <xdr:row>23</xdr:row>
      <xdr:rowOff>76200</xdr:rowOff>
    </xdr:from>
    <xdr:to>
      <xdr:col>41</xdr:col>
      <xdr:colOff>12700</xdr:colOff>
      <xdr:row>27</xdr:row>
      <xdr:rowOff>101600</xdr:rowOff>
    </xdr:to>
    <xdr:sp macro="" textlink="Traitement!G17">
      <xdr:nvSpPr>
        <xdr:cNvPr id="18" name="ZoneTexte 17">
          <a:extLst>
            <a:ext uri="{FF2B5EF4-FFF2-40B4-BE49-F238E27FC236}">
              <a16:creationId xmlns:a16="http://schemas.microsoft.com/office/drawing/2014/main" id="{EDD1411F-193E-4C20-AAAA-6F16587C0F6D}"/>
            </a:ext>
          </a:extLst>
        </xdr:cNvPr>
        <xdr:cNvSpPr txBox="1"/>
      </xdr:nvSpPr>
      <xdr:spPr>
        <a:xfrm>
          <a:off x="15398750" y="3870325"/>
          <a:ext cx="1473200" cy="596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CA9D5F6-52F3-4AA8-8BE8-A0BEA3A84A71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3%</a:t>
          </a:fld>
          <a:endParaRPr lang="fr-FR" sz="2800" b="1"/>
        </a:p>
      </xdr:txBody>
    </xdr:sp>
    <xdr:clientData/>
  </xdr:twoCellAnchor>
  <xdr:twoCellAnchor>
    <xdr:from>
      <xdr:col>25</xdr:col>
      <xdr:colOff>355600</xdr:colOff>
      <xdr:row>40</xdr:row>
      <xdr:rowOff>101600</xdr:rowOff>
    </xdr:from>
    <xdr:to>
      <xdr:col>34</xdr:col>
      <xdr:colOff>177800</xdr:colOff>
      <xdr:row>62</xdr:row>
      <xdr:rowOff>63500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A2699A2A-8EAF-470D-825D-23573BF83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373743</xdr:colOff>
      <xdr:row>49</xdr:row>
      <xdr:rowOff>108857</xdr:rowOff>
    </xdr:from>
    <xdr:to>
      <xdr:col>31</xdr:col>
      <xdr:colOff>234043</xdr:colOff>
      <xdr:row>54</xdr:row>
      <xdr:rowOff>45357</xdr:rowOff>
    </xdr:to>
    <xdr:sp macro="" textlink="Traitement!G19">
      <xdr:nvSpPr>
        <xdr:cNvPr id="20" name="ZoneTexte 19">
          <a:extLst>
            <a:ext uri="{FF2B5EF4-FFF2-40B4-BE49-F238E27FC236}">
              <a16:creationId xmlns:a16="http://schemas.microsoft.com/office/drawing/2014/main" id="{2C5C63C4-F209-4EE8-9500-3957F8E43DD0}"/>
            </a:ext>
          </a:extLst>
        </xdr:cNvPr>
        <xdr:cNvSpPr txBox="1"/>
      </xdr:nvSpPr>
      <xdr:spPr>
        <a:xfrm>
          <a:off x="12073618" y="7617732"/>
          <a:ext cx="1050925" cy="650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E50420F-4D55-4489-8D8B-A7E6BAA3D4BB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27%</a:t>
          </a:fld>
          <a:endParaRPr lang="fr-FR" sz="2800" b="1"/>
        </a:p>
      </xdr:txBody>
    </xdr:sp>
    <xdr:clientData/>
  </xdr:twoCellAnchor>
  <xdr:twoCellAnchor>
    <xdr:from>
      <xdr:col>43</xdr:col>
      <xdr:colOff>203200</xdr:colOff>
      <xdr:row>14</xdr:row>
      <xdr:rowOff>76200</xdr:rowOff>
    </xdr:from>
    <xdr:to>
      <xdr:col>52</xdr:col>
      <xdr:colOff>136524</xdr:colOff>
      <xdr:row>36</xdr:row>
      <xdr:rowOff>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57F75434-CEFC-4C62-AB3E-641C41A8B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12700</xdr:colOff>
      <xdr:row>40</xdr:row>
      <xdr:rowOff>50800</xdr:rowOff>
    </xdr:from>
    <xdr:to>
      <xdr:col>43</xdr:col>
      <xdr:colOff>339724</xdr:colOff>
      <xdr:row>61</xdr:row>
      <xdr:rowOff>101600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73576B08-E70D-4CD7-B6E6-70B6B2B89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263071</xdr:colOff>
      <xdr:row>48</xdr:row>
      <xdr:rowOff>123372</xdr:rowOff>
    </xdr:from>
    <xdr:to>
      <xdr:col>40</xdr:col>
      <xdr:colOff>139700</xdr:colOff>
      <xdr:row>52</xdr:row>
      <xdr:rowOff>21771</xdr:rowOff>
    </xdr:to>
    <xdr:sp macro="" textlink="Traitement!G21">
      <xdr:nvSpPr>
        <xdr:cNvPr id="23" name="ZoneTexte 22">
          <a:extLst>
            <a:ext uri="{FF2B5EF4-FFF2-40B4-BE49-F238E27FC236}">
              <a16:creationId xmlns:a16="http://schemas.microsoft.com/office/drawing/2014/main" id="{1E44D792-01DE-3110-68F0-840AB3A842F5}"/>
            </a:ext>
          </a:extLst>
        </xdr:cNvPr>
        <xdr:cNvSpPr txBox="1"/>
      </xdr:nvSpPr>
      <xdr:spPr>
        <a:xfrm>
          <a:off x="15931696" y="7489372"/>
          <a:ext cx="670379" cy="469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C322037-65F9-416E-906C-B3211772D2D4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8%</a:t>
          </a:fld>
          <a:endParaRPr lang="fr-FR" sz="2800" b="1"/>
        </a:p>
      </xdr:txBody>
    </xdr:sp>
    <xdr:clientData/>
  </xdr:twoCellAnchor>
  <xdr:twoCellAnchor>
    <xdr:from>
      <xdr:col>26</xdr:col>
      <xdr:colOff>114300</xdr:colOff>
      <xdr:row>13</xdr:row>
      <xdr:rowOff>88900</xdr:rowOff>
    </xdr:from>
    <xdr:to>
      <xdr:col>29</xdr:col>
      <xdr:colOff>25400</xdr:colOff>
      <xdr:row>16</xdr:row>
      <xdr:rowOff>0</xdr:rowOff>
    </xdr:to>
    <xdr:sp macro="" textlink="Traitement!F18">
      <xdr:nvSpPr>
        <xdr:cNvPr id="24" name="ZoneTexte 23">
          <a:extLst>
            <a:ext uri="{FF2B5EF4-FFF2-40B4-BE49-F238E27FC236}">
              <a16:creationId xmlns:a16="http://schemas.microsoft.com/office/drawing/2014/main" id="{5AF33EC3-1EB1-4E9E-BBA5-C838F6FE6045}"/>
            </a:ext>
          </a:extLst>
        </xdr:cNvPr>
        <xdr:cNvSpPr txBox="1"/>
      </xdr:nvSpPr>
      <xdr:spPr>
        <a:xfrm>
          <a:off x="11020425" y="2454275"/>
          <a:ext cx="1101725" cy="339725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B0D84F2-1F6C-4258-AA29-640D3E292893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Huile</a:t>
          </a:fld>
          <a:endParaRPr lang="fr-FR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317500</xdr:colOff>
      <xdr:row>13</xdr:row>
      <xdr:rowOff>50800</xdr:rowOff>
    </xdr:from>
    <xdr:to>
      <xdr:col>37</xdr:col>
      <xdr:colOff>215900</xdr:colOff>
      <xdr:row>16</xdr:row>
      <xdr:rowOff>38100</xdr:rowOff>
    </xdr:to>
    <xdr:sp macro="" textlink="Traitement!F17">
      <xdr:nvSpPr>
        <xdr:cNvPr id="25" name="ZoneTexte 24">
          <a:extLst>
            <a:ext uri="{FF2B5EF4-FFF2-40B4-BE49-F238E27FC236}">
              <a16:creationId xmlns:a16="http://schemas.microsoft.com/office/drawing/2014/main" id="{5B22CC6E-0719-4DE2-9954-FDBEFF3ABC62}"/>
            </a:ext>
          </a:extLst>
        </xdr:cNvPr>
        <xdr:cNvSpPr txBox="1"/>
      </xdr:nvSpPr>
      <xdr:spPr>
        <a:xfrm>
          <a:off x="14398625" y="2416175"/>
          <a:ext cx="1089025" cy="41592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E506E03-EDE3-4EC4-8E01-015B7373801F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Farine</a:t>
          </a:fld>
          <a:endParaRPr lang="fr-FR" sz="8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330200</xdr:colOff>
      <xdr:row>39</xdr:row>
      <xdr:rowOff>76200</xdr:rowOff>
    </xdr:from>
    <xdr:to>
      <xdr:col>28</xdr:col>
      <xdr:colOff>152400</xdr:colOff>
      <xdr:row>42</xdr:row>
      <xdr:rowOff>12700</xdr:rowOff>
    </xdr:to>
    <xdr:sp macro="" textlink="Traitement!F19">
      <xdr:nvSpPr>
        <xdr:cNvPr id="26" name="ZoneTexte 25">
          <a:extLst>
            <a:ext uri="{FF2B5EF4-FFF2-40B4-BE49-F238E27FC236}">
              <a16:creationId xmlns:a16="http://schemas.microsoft.com/office/drawing/2014/main" id="{9483A3DF-F512-467C-B827-970865E3BB12}"/>
            </a:ext>
          </a:extLst>
        </xdr:cNvPr>
        <xdr:cNvSpPr txBox="1"/>
      </xdr:nvSpPr>
      <xdr:spPr>
        <a:xfrm>
          <a:off x="10839450" y="6156325"/>
          <a:ext cx="1012825" cy="365125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C35F34-8584-4B8C-A448-682B35B880E6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Riz</a:t>
          </a:fld>
          <a:endParaRPr lang="fr-FR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368300</xdr:colOff>
      <xdr:row>39</xdr:row>
      <xdr:rowOff>0</xdr:rowOff>
    </xdr:from>
    <xdr:to>
      <xdr:col>37</xdr:col>
      <xdr:colOff>38100</xdr:colOff>
      <xdr:row>41</xdr:row>
      <xdr:rowOff>114300</xdr:rowOff>
    </xdr:to>
    <xdr:sp macro="" textlink="Traitement!F21">
      <xdr:nvSpPr>
        <xdr:cNvPr id="27" name="ZoneTexte 26">
          <a:extLst>
            <a:ext uri="{FF2B5EF4-FFF2-40B4-BE49-F238E27FC236}">
              <a16:creationId xmlns:a16="http://schemas.microsoft.com/office/drawing/2014/main" id="{45220819-06D6-44D1-9419-3F92861F526A}"/>
            </a:ext>
          </a:extLst>
        </xdr:cNvPr>
        <xdr:cNvSpPr txBox="1"/>
      </xdr:nvSpPr>
      <xdr:spPr>
        <a:xfrm>
          <a:off x="14449425" y="6080125"/>
          <a:ext cx="860425" cy="40005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B8E5FFA-C247-49BC-A815-5A76ED61636F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Sucre</a:t>
          </a:fld>
          <a:endParaRPr lang="fr-FR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43</xdr:col>
      <xdr:colOff>177801</xdr:colOff>
      <xdr:row>13</xdr:row>
      <xdr:rowOff>25400</xdr:rowOff>
    </xdr:from>
    <xdr:to>
      <xdr:col>46</xdr:col>
      <xdr:colOff>38101</xdr:colOff>
      <xdr:row>16</xdr:row>
      <xdr:rowOff>38100</xdr:rowOff>
    </xdr:to>
    <xdr:sp macro="" textlink="">
      <xdr:nvSpPr>
        <xdr:cNvPr id="28" name="ZoneTexte 19">
          <a:extLst>
            <a:ext uri="{FF2B5EF4-FFF2-40B4-BE49-F238E27FC236}">
              <a16:creationId xmlns:a16="http://schemas.microsoft.com/office/drawing/2014/main" id="{D77EAB40-89FB-0E03-1C8B-6E3DADB74311}"/>
            </a:ext>
          </a:extLst>
        </xdr:cNvPr>
        <xdr:cNvSpPr txBox="1"/>
      </xdr:nvSpPr>
      <xdr:spPr>
        <a:xfrm>
          <a:off x="17830801" y="2390775"/>
          <a:ext cx="1050925" cy="441325"/>
        </a:xfrm>
        <a:prstGeom prst="rect">
          <a:avLst/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t>Savon</a:t>
          </a:r>
          <a:endParaRPr lang="fr-FR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201472</xdr:colOff>
      <xdr:row>39</xdr:row>
      <xdr:rowOff>107293</xdr:rowOff>
    </xdr:from>
    <xdr:to>
      <xdr:col>21</xdr:col>
      <xdr:colOff>364016</xdr:colOff>
      <xdr:row>41</xdr:row>
      <xdr:rowOff>139408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FD47F54-8A7C-433D-9DE9-26CB7AC901D7}"/>
            </a:ext>
          </a:extLst>
        </xdr:cNvPr>
        <xdr:cNvSpPr/>
      </xdr:nvSpPr>
      <xdr:spPr>
        <a:xfrm>
          <a:off x="7138847" y="6187418"/>
          <a:ext cx="2146919" cy="31786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bg1"/>
              </a:solidFill>
            </a:rPr>
            <a:t>3</a:t>
          </a:r>
          <a:r>
            <a:rPr lang="fr-FR" sz="1400" b="1" baseline="0">
              <a:solidFill>
                <a:schemeClr val="bg1"/>
              </a:solidFill>
            </a:rPr>
            <a:t> Meilleurs</a:t>
          </a:r>
          <a:r>
            <a:rPr lang="fr-FR" sz="1400" b="1">
              <a:solidFill>
                <a:schemeClr val="bg1"/>
              </a:solidFill>
            </a:rPr>
            <a:t> Clients</a:t>
          </a:r>
        </a:p>
      </xdr:txBody>
    </xdr:sp>
    <xdr:clientData/>
  </xdr:twoCellAnchor>
  <xdr:twoCellAnchor>
    <xdr:from>
      <xdr:col>4</xdr:col>
      <xdr:colOff>114300</xdr:colOff>
      <xdr:row>40</xdr:row>
      <xdr:rowOff>0</xdr:rowOff>
    </xdr:from>
    <xdr:to>
      <xdr:col>9</xdr:col>
      <xdr:colOff>276844</xdr:colOff>
      <xdr:row>42</xdr:row>
      <xdr:rowOff>32115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F329941-5B85-4291-82D1-1065E90C2156}"/>
            </a:ext>
          </a:extLst>
        </xdr:cNvPr>
        <xdr:cNvSpPr/>
      </xdr:nvSpPr>
      <xdr:spPr>
        <a:xfrm>
          <a:off x="1701800" y="6223000"/>
          <a:ext cx="2734294" cy="31786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bg1"/>
              </a:solidFill>
            </a:rPr>
            <a:t>Meilleurs Commerciaux</a:t>
          </a:r>
        </a:p>
      </xdr:txBody>
    </xdr:sp>
    <xdr:clientData/>
  </xdr:twoCellAnchor>
  <xdr:twoCellAnchor editAs="oneCell">
    <xdr:from>
      <xdr:col>18</xdr:col>
      <xdr:colOff>165100</xdr:colOff>
      <xdr:row>1</xdr:row>
      <xdr:rowOff>114301</xdr:rowOff>
    </xdr:from>
    <xdr:to>
      <xdr:col>25</xdr:col>
      <xdr:colOff>201226</xdr:colOff>
      <xdr:row>8</xdr:row>
      <xdr:rowOff>203200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Commercial">
              <a:extLst>
                <a:ext uri="{FF2B5EF4-FFF2-40B4-BE49-F238E27FC236}">
                  <a16:creationId xmlns:a16="http://schemas.microsoft.com/office/drawing/2014/main" id="{348D370E-BDD1-48CB-A06D-46B13DE31C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merc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6225" y="257176"/>
              <a:ext cx="2814251" cy="1263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6350</xdr:colOff>
      <xdr:row>1</xdr:row>
      <xdr:rowOff>38101</xdr:rowOff>
    </xdr:from>
    <xdr:to>
      <xdr:col>35</xdr:col>
      <xdr:colOff>147652</xdr:colOff>
      <xdr:row>8</xdr:row>
      <xdr:rowOff>342901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Ville">
              <a:extLst>
                <a:ext uri="{FF2B5EF4-FFF2-40B4-BE49-F238E27FC236}">
                  <a16:creationId xmlns:a16="http://schemas.microsoft.com/office/drawing/2014/main" id="{121A3DCF-1FCF-4C36-89F2-BF0AE67747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12475" y="180976"/>
              <a:ext cx="3713177" cy="147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298450</xdr:colOff>
      <xdr:row>1</xdr:row>
      <xdr:rowOff>57151</xdr:rowOff>
    </xdr:from>
    <xdr:to>
      <xdr:col>41</xdr:col>
      <xdr:colOff>296276</xdr:colOff>
      <xdr:row>8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Article">
              <a:extLst>
                <a:ext uri="{FF2B5EF4-FFF2-40B4-BE49-F238E27FC236}">
                  <a16:creationId xmlns:a16="http://schemas.microsoft.com/office/drawing/2014/main" id="{D248309A-F095-459E-AA1E-7EEB40E6BA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76450" y="200026"/>
              <a:ext cx="2379076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0.34911</cdr:x>
      <cdr:y>0.40284</cdr:y>
    </cdr:from>
    <cdr:to>
      <cdr:x>0.6898</cdr:x>
      <cdr:y>0.66825</cdr:y>
    </cdr:to>
    <cdr:sp macro="" textlink="Traitement!$G$20">
      <cdr:nvSpPr>
        <cdr:cNvPr id="2" name="ZoneTexte 19">
          <a:extLst xmlns:a="http://schemas.openxmlformats.org/drawingml/2006/main">
            <a:ext uri="{FF2B5EF4-FFF2-40B4-BE49-F238E27FC236}">
              <a16:creationId xmlns:a16="http://schemas.microsoft.com/office/drawing/2014/main" id="{2C5C63C4-F209-4EE8-9500-3957F8E43DD0}"/>
            </a:ext>
          </a:extLst>
        </cdr:cNvPr>
        <cdr:cNvSpPr txBox="1"/>
      </cdr:nvSpPr>
      <cdr:spPr>
        <a:xfrm xmlns:a="http://schemas.openxmlformats.org/drawingml/2006/main">
          <a:off x="1213724" y="1207392"/>
          <a:ext cx="1184451" cy="7954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885A934-93E7-4427-B11A-B23AE83C9578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38%</a:t>
          </a:fld>
          <a:endParaRPr lang="fr-FR" sz="2800" b="1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6.680109606481" createdVersion="8" refreshedVersion="8" minRefreshableVersion="3" recordCount="20" xr:uid="{200BBAD0-9F06-482C-882D-D3EF4F11335C}">
  <cacheSource type="worksheet">
    <worksheetSource ref="A1:J21" sheet="Ventes"/>
  </cacheSource>
  <cacheFields count="10">
    <cacheField name="Commercial" numFmtId="0">
      <sharedItems count="5">
        <s v="Moussa"/>
        <s v="Ali"/>
        <s v="Fatimé"/>
        <s v="Hassan"/>
        <s v="Amina"/>
      </sharedItems>
    </cacheField>
    <cacheField name="Ville" numFmtId="0">
      <sharedItems count="10">
        <s v="Mongo"/>
        <s v="Ati"/>
        <s v="N'Djamena"/>
        <s v="Doba"/>
        <s v="Moundou"/>
        <s v="Sarh"/>
        <s v="Faya-Largeau"/>
        <s v="Pala"/>
        <s v="Bongor"/>
        <s v="Abéché"/>
      </sharedItems>
    </cacheField>
    <cacheField name="Région" numFmtId="0">
      <sharedItems/>
    </cacheField>
    <cacheField name="Client" numFmtId="0">
      <sharedItems count="10">
        <s v="Adoum Moussa"/>
        <s v="Hawa Abdallah"/>
        <s v="Abakar Ali"/>
        <s v="Zara Ali"/>
        <s v="Moussa Mht"/>
        <s v="Client C" u="1"/>
        <s v="Client E" u="1"/>
        <s v="Client A" u="1"/>
        <s v="Client D" u="1"/>
        <s v="Client B" u="1"/>
      </sharedItems>
    </cacheField>
    <cacheField name="Date de commande" numFmtId="14">
      <sharedItems count="17">
        <s v="04/03/2026"/>
        <s v="10/03/2026"/>
        <s v="06/02/2026"/>
        <s v="22/01/2026"/>
        <s v="17/01/2026"/>
        <s v="02/02/2026"/>
        <s v="20/02/2026"/>
        <s v="19/03/2026"/>
        <s v="25/02/2026"/>
        <s v="02/04/2026"/>
        <s v="27/01/2026"/>
        <s v="04/01/2026"/>
        <s v="15/03/2026"/>
        <s v="12/03/2026"/>
        <s v="25/01/2026"/>
        <s v="13/03/2026"/>
        <s v="24/03/2026"/>
      </sharedItems>
    </cacheField>
    <cacheField name="Article" numFmtId="0">
      <sharedItems count="5">
        <s v="Savon"/>
        <s v="Farine"/>
        <s v="Riz"/>
        <s v="Sucre"/>
        <s v="Huile"/>
      </sharedItems>
    </cacheField>
    <cacheField name="Quantité" numFmtId="0">
      <sharedItems containsSemiMixedTypes="0" containsString="0" containsNumber="1" containsInteger="1" minValue="3" maxValue="44"/>
    </cacheField>
    <cacheField name="Prix (FCFA)" numFmtId="0">
      <sharedItems containsSemiMixedTypes="0" containsString="0" containsNumber="1" containsInteger="1" minValue="1332" maxValue="9899"/>
    </cacheField>
    <cacheField name="Chiffre d'affaire" numFmtId="0">
      <sharedItems containsSemiMixedTypes="0" containsString="0" containsNumber="1" containsInteger="1" minValue="8185" maxValue="366263"/>
    </cacheField>
    <cacheField name="Bénéfice" numFmtId="0">
      <sharedItems containsSemiMixedTypes="0" containsString="0" containsNumber="1" containsInteger="1" minValue="1072" maxValue="79291"/>
    </cacheField>
  </cacheFields>
  <extLst>
    <ext xmlns:x14="http://schemas.microsoft.com/office/spreadsheetml/2009/9/main" uri="{725AE2AE-9491-48be-B2B4-4EB974FC3084}">
      <x14:pivotCacheDefinition pivotCacheId="9010744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Guéra"/>
    <x v="0"/>
    <x v="0"/>
    <x v="0"/>
    <n v="37"/>
    <n v="9899"/>
    <n v="366263"/>
    <n v="79291"/>
  </r>
  <r>
    <x v="0"/>
    <x v="1"/>
    <s v="Batha"/>
    <x v="1"/>
    <x v="1"/>
    <x v="0"/>
    <n v="15"/>
    <n v="6932"/>
    <n v="103980"/>
    <n v="22460"/>
  </r>
  <r>
    <x v="1"/>
    <x v="2"/>
    <s v="Chari-Baguirmi"/>
    <x v="2"/>
    <x v="2"/>
    <x v="1"/>
    <n v="15"/>
    <n v="5414"/>
    <n v="81210"/>
    <n v="10466"/>
  </r>
  <r>
    <x v="0"/>
    <x v="3"/>
    <s v="Logone Oriental"/>
    <x v="2"/>
    <x v="3"/>
    <x v="2"/>
    <n v="18"/>
    <n v="7041"/>
    <n v="126738"/>
    <n v="19710"/>
  </r>
  <r>
    <x v="0"/>
    <x v="4"/>
    <s v="Logone Occidental"/>
    <x v="3"/>
    <x v="2"/>
    <x v="2"/>
    <n v="29"/>
    <n v="6805"/>
    <n v="197345"/>
    <n v="38454"/>
  </r>
  <r>
    <x v="0"/>
    <x v="5"/>
    <s v="Moyen-Chari"/>
    <x v="2"/>
    <x v="4"/>
    <x v="3"/>
    <n v="24"/>
    <n v="9249"/>
    <n v="221976"/>
    <n v="28360"/>
  </r>
  <r>
    <x v="0"/>
    <x v="2"/>
    <s v="Chari-Baguirmi"/>
    <x v="2"/>
    <x v="5"/>
    <x v="0"/>
    <n v="23"/>
    <n v="1332"/>
    <n v="30636"/>
    <n v="5905"/>
  </r>
  <r>
    <x v="2"/>
    <x v="3"/>
    <s v="Logone Oriental"/>
    <x v="2"/>
    <x v="6"/>
    <x v="0"/>
    <n v="32"/>
    <n v="5736"/>
    <n v="183552"/>
    <n v="34479"/>
  </r>
  <r>
    <x v="3"/>
    <x v="5"/>
    <s v="Moyen-Chari"/>
    <x v="0"/>
    <x v="7"/>
    <x v="0"/>
    <n v="27"/>
    <n v="5187"/>
    <n v="140049"/>
    <n v="28477"/>
  </r>
  <r>
    <x v="3"/>
    <x v="6"/>
    <s v="Borkou"/>
    <x v="3"/>
    <x v="8"/>
    <x v="4"/>
    <n v="42"/>
    <n v="1427"/>
    <n v="59934"/>
    <n v="9429"/>
  </r>
  <r>
    <x v="2"/>
    <x v="7"/>
    <s v="Mayo-Kebbi Ouest"/>
    <x v="3"/>
    <x v="9"/>
    <x v="4"/>
    <n v="3"/>
    <n v="2739"/>
    <n v="8217"/>
    <n v="1072"/>
  </r>
  <r>
    <x v="0"/>
    <x v="4"/>
    <s v="Logone Occidental"/>
    <x v="4"/>
    <x v="10"/>
    <x v="4"/>
    <n v="5"/>
    <n v="1637"/>
    <n v="8185"/>
    <n v="2224"/>
  </r>
  <r>
    <x v="4"/>
    <x v="0"/>
    <s v="Guéra"/>
    <x v="3"/>
    <x v="11"/>
    <x v="2"/>
    <n v="44"/>
    <n v="7828"/>
    <n v="344432"/>
    <n v="69012"/>
  </r>
  <r>
    <x v="0"/>
    <x v="7"/>
    <s v="Mayo-Kebbi Ouest"/>
    <x v="4"/>
    <x v="12"/>
    <x v="4"/>
    <n v="6"/>
    <n v="1368"/>
    <n v="8208"/>
    <n v="1804"/>
  </r>
  <r>
    <x v="1"/>
    <x v="5"/>
    <s v="Moyen-Chari"/>
    <x v="3"/>
    <x v="13"/>
    <x v="4"/>
    <n v="29"/>
    <n v="6517"/>
    <n v="188993"/>
    <n v="21398"/>
  </r>
  <r>
    <x v="1"/>
    <x v="0"/>
    <s v="Guéra"/>
    <x v="1"/>
    <x v="14"/>
    <x v="2"/>
    <n v="25"/>
    <n v="5283"/>
    <n v="132075"/>
    <n v="39106"/>
  </r>
  <r>
    <x v="0"/>
    <x v="8"/>
    <s v="Mayo-Kebbi Est"/>
    <x v="3"/>
    <x v="15"/>
    <x v="3"/>
    <n v="3"/>
    <n v="7109"/>
    <n v="21327"/>
    <n v="4059"/>
  </r>
  <r>
    <x v="0"/>
    <x v="8"/>
    <s v="Mayo-Kebbi Est"/>
    <x v="4"/>
    <x v="3"/>
    <x v="0"/>
    <n v="43"/>
    <n v="7067"/>
    <n v="303881"/>
    <n v="71745"/>
  </r>
  <r>
    <x v="4"/>
    <x v="5"/>
    <s v="Moyen-Chari"/>
    <x v="1"/>
    <x v="16"/>
    <x v="4"/>
    <n v="40"/>
    <n v="8961"/>
    <n v="358440"/>
    <n v="58921"/>
  </r>
  <r>
    <x v="2"/>
    <x v="9"/>
    <s v="Ouaddaï"/>
    <x v="1"/>
    <x v="2"/>
    <x v="4"/>
    <n v="20"/>
    <n v="5347"/>
    <n v="106940"/>
    <n v="224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2D81A-2051-4794-BA41-792BD0D0D7DA}" name="CA_Date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J18:K36" firstHeaderRow="1" firstDataRow="1" firstDataCol="1"/>
  <pivotFields count="10">
    <pivotField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axis="axisRow" showAll="0">
      <items count="18">
        <item x="5"/>
        <item x="9"/>
        <item x="11"/>
        <item x="0"/>
        <item x="2"/>
        <item x="1"/>
        <item x="13"/>
        <item x="15"/>
        <item x="12"/>
        <item x="4"/>
        <item x="7"/>
        <item x="6"/>
        <item x="3"/>
        <item x="16"/>
        <item x="14"/>
        <item x="8"/>
        <item x="10"/>
        <item t="default"/>
      </items>
    </pivotField>
    <pivotField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me de Chiffre d'affaire" fld="8" baseField="0" baseItem="0"/>
  </dataFields>
  <formats count="3">
    <format dxfId="5">
      <pivotArea field="4" type="button" dataOnly="0" labelOnly="1" outline="0" axis="axisRow" fieldPosition="0"/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4" count="0"/>
        </references>
      </pivotArea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CAA3D-E763-4D3F-BFCA-DF4F9ABABA89}" name="CA_Ville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0:B21" firstHeaderRow="1" firstDataRow="1" firstDataCol="1"/>
  <pivotFields count="10">
    <pivotField showAll="0">
      <items count="6">
        <item x="1"/>
        <item x="4"/>
        <item x="2"/>
        <item x="3"/>
        <item x="0"/>
        <item t="default"/>
      </items>
    </pivotField>
    <pivotField axis="axisRow" showAll="0">
      <items count="11">
        <item x="9"/>
        <item x="1"/>
        <item x="8"/>
        <item x="3"/>
        <item x="6"/>
        <item x="0"/>
        <item x="4"/>
        <item x="2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me de Chiffre d'affair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AC2C2-F2BC-4D23-8E48-5B9021659B2C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F10:G14" firstHeaderRow="1" firstDataRow="1" firstDataCol="1"/>
  <pivotFields count="10">
    <pivotField showAll="0"/>
    <pivotField showAll="0"/>
    <pivotField showAll="0"/>
    <pivotField axis="axisRow" showAll="0" measureFilter="1">
      <items count="11">
        <item m="1" x="7"/>
        <item m="1" x="9"/>
        <item m="1" x="5"/>
        <item m="1" x="8"/>
        <item m="1"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Somme de Chiffre d'affaire" fld="8" baseField="0" baseItem="0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EB2DB-C71A-4EAA-B560-F4E20F9DA14D}" name="CA_Benefice_Revenu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D7" firstHeaderRow="0" firstDataRow="1" firstDataCol="1"/>
  <pivotFields count="10"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x="9"/>
        <item x="1"/>
        <item x="8"/>
        <item x="3"/>
        <item x="6"/>
        <item x="0"/>
        <item x="4"/>
        <item x="2"/>
        <item x="7"/>
        <item x="5"/>
        <item t="default"/>
      </items>
    </pivotField>
    <pivotField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dataField="1" showAll="0"/>
    <pivotField showAll="0"/>
    <pivotField dataField="1"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Quantité" fld="6" baseField="0" baseItem="0"/>
    <dataField name="Somme de Chiffre d'affaire" fld="8" baseField="0" baseItem="0" numFmtId="164"/>
    <dataField name="Somme de Bénéfice" fld="9" baseField="0" baseItem="0" numFmtId="164"/>
  </dataFields>
  <formats count="1">
    <format dxfId="6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C9AFB-6719-472F-BB91-3795D201BA69}" name="CA_Article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16:G22" firstHeaderRow="1" firstDataRow="1" firstDataCol="1"/>
  <pivotFields count="10">
    <pivotField showAll="0"/>
    <pivotField showAll="0">
      <items count="11">
        <item x="9"/>
        <item x="1"/>
        <item x="8"/>
        <item x="3"/>
        <item x="6"/>
        <item x="0"/>
        <item x="4"/>
        <item x="2"/>
        <item x="7"/>
        <item x="5"/>
        <item t="default"/>
      </items>
    </pivotField>
    <pivotField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hiffre d'affaire" fld="8" showDataAs="percentOfCol" baseField="0" baseItem="0" numFmtId="10"/>
  </dataFields>
  <formats count="2">
    <format dxfId="8">
      <pivotArea collapsedLevelsAreSubtotals="1" fieldPosition="0">
        <references count="1">
          <reference field="5" count="0"/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8ED3-5858-4157-9BD4-627061B4CB0B}" name="CA_Commerciaux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7">
  <location ref="C10:D16" firstHeaderRow="1" firstDataRow="1" firstDataCol="1"/>
  <pivotFields count="10">
    <pivotField axis="axisRow" showAll="0">
      <items count="6">
        <item x="1"/>
        <item x="4"/>
        <item x="2"/>
        <item x="3"/>
        <item x="0"/>
        <item t="default"/>
      </items>
    </pivotField>
    <pivotField showAll="0">
      <items count="11">
        <item x="9"/>
        <item x="1"/>
        <item x="8"/>
        <item x="3"/>
        <item x="6"/>
        <item x="0"/>
        <item x="4"/>
        <item x="2"/>
        <item x="7"/>
        <item x="5"/>
        <item t="default"/>
      </items>
    </pivotField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hiffre d'affaire" fld="8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ommercial" xr10:uid="{3851E07A-E22C-4295-BAA7-1C623C5A9EFF}" sourceName="Commercial">
  <pivotTables>
    <pivotTable tabId="2" name="CA_Benefice_Revenu"/>
    <pivotTable tabId="2" name="CA_Ville"/>
    <pivotTable tabId="2" name="CA_Date"/>
  </pivotTables>
  <data>
    <tabular pivotCacheId="901074479">
      <items count="5">
        <i x="1" s="1"/>
        <i x="4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D9021112-3D3A-4E79-8258-5EE57A700F37}" sourceName="Ville">
  <pivotTables>
    <pivotTable tabId="2" name="CA_Benefice_Revenu"/>
    <pivotTable tabId="2" name="CA_Article"/>
    <pivotTable tabId="2" name="CA_Commerciaux"/>
  </pivotTables>
  <data>
    <tabular pivotCacheId="901074479">
      <items count="10">
        <i x="9" s="1"/>
        <i x="1" s="1"/>
        <i x="8" s="1"/>
        <i x="3" s="1"/>
        <i x="6" s="1"/>
        <i x="0" s="1"/>
        <i x="4" s="1"/>
        <i x="2" s="1"/>
        <i x="7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rticle" xr10:uid="{F7633B41-27EB-4EE3-9623-ED7F6CCF042B}" sourceName="Article">
  <pivotTables>
    <pivotTable tabId="2" name="CA_Benefice_Revenu"/>
    <pivotTable tabId="2" name="CA_Commerciaux"/>
    <pivotTable tabId="2" name="CA_Date"/>
  </pivotTables>
  <data>
    <tabular pivotCacheId="901074479">
      <items count="5">
        <i x="1" s="1"/>
        <i x="4" s="1"/>
        <i x="2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mercial" xr10:uid="{D0B09F93-4CAE-4831-A4D4-CEF53D9C23F3}" cache="Segment_Commercial" caption="Commercial" columnCount="2" style="SlicerStyleDark1" rowHeight="241300"/>
  <slicer name="Ville" xr10:uid="{37B75654-F901-4E4A-BB94-DE3EBCF577BE}" cache="Segment_Ville" caption="Ville" columnCount="3" style="SlicerStyleDark4" rowHeight="216000"/>
  <slicer name="Article" xr10:uid="{9A13F445-30FD-494C-9796-890875A592BF}" cache="Segment_Article" caption="Article" columnCount="2" style="SlicerStyleDark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34E0C-A835-4892-84E3-FDF28BB3D973}" name="Tableau1" displayName="Tableau1" ref="A1:J21" totalsRowShown="0" headerRowDxfId="11" dataDxfId="10">
  <autoFilter ref="A1:J21" xr:uid="{42234E0C-A835-4892-84E3-FDF28BB3D973}"/>
  <tableColumns count="10">
    <tableColumn id="1" xr3:uid="{B88B939B-519F-410A-9F95-35DBABB162FE}" name="Commercial"/>
    <tableColumn id="2" xr3:uid="{CEAB50B1-F774-4664-B6D0-25F5029AD9EB}" name="Ville"/>
    <tableColumn id="3" xr3:uid="{33461D4F-0746-4522-AC6C-D0E6DE031A80}" name="Région"/>
    <tableColumn id="4" xr3:uid="{87905463-038C-4236-9F90-D0B212446F60}" name="Client"/>
    <tableColumn id="5" xr3:uid="{FF4EA625-C0AC-4860-8971-199E38F4FBAC}" name="Date de commande" dataDxfId="9"/>
    <tableColumn id="6" xr3:uid="{724D246C-32CD-4A46-84EE-B8DC68FD7B54}" name="Article"/>
    <tableColumn id="7" xr3:uid="{531013C9-9BBD-4BA6-8889-6DE74F2FC3AB}" name="Quantité"/>
    <tableColumn id="8" xr3:uid="{C19A443A-669F-4900-9BAA-66C7611C2590}" name="Prix (FCFA)" dataDxfId="0"/>
    <tableColumn id="9" xr3:uid="{42E144AF-284C-4751-BDFA-243F13B312B3}" name="Chiffre d'affaire" dataDxfId="1"/>
    <tableColumn id="10" xr3:uid="{3E1F4B90-2AA5-44D6-B865-50A1798F4468}" name="Bénéf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8.7265625" defaultRowHeight="14.5" x14ac:dyDescent="0.35"/>
  <cols>
    <col min="1" max="1" width="15.81640625" customWidth="1"/>
    <col min="2" max="2" width="13.90625" customWidth="1"/>
    <col min="3" max="3" width="18.7265625" customWidth="1"/>
    <col min="4" max="4" width="17.08984375" customWidth="1"/>
    <col min="5" max="5" width="22.08984375" style="10" customWidth="1"/>
    <col min="6" max="6" width="11.1796875" customWidth="1"/>
    <col min="7" max="7" width="12.90625" customWidth="1"/>
    <col min="8" max="8" width="17.90625" style="20" customWidth="1"/>
    <col min="9" max="9" width="17.36328125" style="20" customWidth="1"/>
    <col min="10" max="10" width="18" style="20" customWidth="1"/>
  </cols>
  <sheetData>
    <row r="1" spans="1:1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19" t="s">
        <v>7</v>
      </c>
      <c r="I1" s="19" t="s">
        <v>8</v>
      </c>
      <c r="J1" s="19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69</v>
      </c>
      <c r="E2" s="10" t="s">
        <v>13</v>
      </c>
      <c r="F2" t="s">
        <v>14</v>
      </c>
      <c r="G2">
        <v>37</v>
      </c>
      <c r="H2" s="20">
        <v>9899</v>
      </c>
      <c r="I2" s="20">
        <v>366263</v>
      </c>
      <c r="J2" s="20">
        <v>79291</v>
      </c>
    </row>
    <row r="3" spans="1:10" x14ac:dyDescent="0.35">
      <c r="A3" t="s">
        <v>10</v>
      </c>
      <c r="B3" t="s">
        <v>15</v>
      </c>
      <c r="C3" t="s">
        <v>16</v>
      </c>
      <c r="D3" t="s">
        <v>71</v>
      </c>
      <c r="E3" s="10" t="s">
        <v>17</v>
      </c>
      <c r="F3" t="s">
        <v>14</v>
      </c>
      <c r="G3">
        <v>15</v>
      </c>
      <c r="H3" s="20">
        <v>6932</v>
      </c>
      <c r="I3" s="20">
        <v>103980</v>
      </c>
      <c r="J3" s="20">
        <v>22460</v>
      </c>
    </row>
    <row r="4" spans="1:10" x14ac:dyDescent="0.35">
      <c r="A4" t="s">
        <v>18</v>
      </c>
      <c r="B4" t="s">
        <v>19</v>
      </c>
      <c r="C4" t="s">
        <v>20</v>
      </c>
      <c r="D4" t="s">
        <v>67</v>
      </c>
      <c r="E4" s="10" t="s">
        <v>21</v>
      </c>
      <c r="F4" t="s">
        <v>22</v>
      </c>
      <c r="G4">
        <v>15</v>
      </c>
      <c r="H4" s="20">
        <v>5414</v>
      </c>
      <c r="I4" s="20">
        <v>81210</v>
      </c>
      <c r="J4" s="20">
        <v>10466</v>
      </c>
    </row>
    <row r="5" spans="1:10" x14ac:dyDescent="0.35">
      <c r="A5" t="s">
        <v>10</v>
      </c>
      <c r="B5" t="s">
        <v>23</v>
      </c>
      <c r="C5" t="s">
        <v>24</v>
      </c>
      <c r="D5" t="s">
        <v>67</v>
      </c>
      <c r="E5" s="10" t="s">
        <v>25</v>
      </c>
      <c r="F5" t="s">
        <v>26</v>
      </c>
      <c r="G5">
        <v>18</v>
      </c>
      <c r="H5" s="20">
        <v>7041</v>
      </c>
      <c r="I5" s="20">
        <v>126738</v>
      </c>
      <c r="J5" s="20">
        <v>19710</v>
      </c>
    </row>
    <row r="6" spans="1:10" x14ac:dyDescent="0.35">
      <c r="A6" t="s">
        <v>10</v>
      </c>
      <c r="B6" t="s">
        <v>27</v>
      </c>
      <c r="C6" t="s">
        <v>28</v>
      </c>
      <c r="D6" t="s">
        <v>70</v>
      </c>
      <c r="E6" s="10" t="s">
        <v>21</v>
      </c>
      <c r="F6" t="s">
        <v>26</v>
      </c>
      <c r="G6">
        <v>29</v>
      </c>
      <c r="H6" s="20">
        <v>6805</v>
      </c>
      <c r="I6" s="20">
        <v>197345</v>
      </c>
      <c r="J6" s="20">
        <v>38454</v>
      </c>
    </row>
    <row r="7" spans="1:10" x14ac:dyDescent="0.35">
      <c r="A7" t="s">
        <v>10</v>
      </c>
      <c r="B7" t="s">
        <v>29</v>
      </c>
      <c r="C7" t="s">
        <v>30</v>
      </c>
      <c r="D7" t="s">
        <v>67</v>
      </c>
      <c r="E7" s="10" t="s">
        <v>31</v>
      </c>
      <c r="F7" t="s">
        <v>32</v>
      </c>
      <c r="G7">
        <v>24</v>
      </c>
      <c r="H7" s="20">
        <v>9249</v>
      </c>
      <c r="I7" s="20">
        <v>221976</v>
      </c>
      <c r="J7" s="20">
        <v>28360</v>
      </c>
    </row>
    <row r="8" spans="1:10" x14ac:dyDescent="0.35">
      <c r="A8" t="s">
        <v>10</v>
      </c>
      <c r="B8" t="s">
        <v>19</v>
      </c>
      <c r="C8" t="s">
        <v>20</v>
      </c>
      <c r="D8" t="s">
        <v>67</v>
      </c>
      <c r="E8" s="10" t="s">
        <v>33</v>
      </c>
      <c r="F8" t="s">
        <v>14</v>
      </c>
      <c r="G8">
        <v>23</v>
      </c>
      <c r="H8" s="20">
        <v>1332</v>
      </c>
      <c r="I8" s="20">
        <v>30636</v>
      </c>
      <c r="J8" s="20">
        <v>5905</v>
      </c>
    </row>
    <row r="9" spans="1:10" x14ac:dyDescent="0.35">
      <c r="A9" t="s">
        <v>34</v>
      </c>
      <c r="B9" t="s">
        <v>23</v>
      </c>
      <c r="C9" t="s">
        <v>24</v>
      </c>
      <c r="D9" t="s">
        <v>67</v>
      </c>
      <c r="E9" s="10" t="s">
        <v>35</v>
      </c>
      <c r="F9" t="s">
        <v>14</v>
      </c>
      <c r="G9">
        <v>32</v>
      </c>
      <c r="H9" s="20">
        <v>5736</v>
      </c>
      <c r="I9" s="20">
        <v>183552</v>
      </c>
      <c r="J9" s="20">
        <v>34479</v>
      </c>
    </row>
    <row r="10" spans="1:10" x14ac:dyDescent="0.35">
      <c r="A10" t="s">
        <v>36</v>
      </c>
      <c r="B10" t="s">
        <v>29</v>
      </c>
      <c r="C10" t="s">
        <v>30</v>
      </c>
      <c r="D10" t="s">
        <v>69</v>
      </c>
      <c r="E10" s="10" t="s">
        <v>37</v>
      </c>
      <c r="F10" t="s">
        <v>14</v>
      </c>
      <c r="G10">
        <v>27</v>
      </c>
      <c r="H10" s="20">
        <v>5187</v>
      </c>
      <c r="I10" s="20">
        <v>140049</v>
      </c>
      <c r="J10" s="20">
        <v>28477</v>
      </c>
    </row>
    <row r="11" spans="1:10" x14ac:dyDescent="0.35">
      <c r="A11" t="s">
        <v>36</v>
      </c>
      <c r="B11" t="s">
        <v>38</v>
      </c>
      <c r="C11" t="s">
        <v>39</v>
      </c>
      <c r="D11" t="s">
        <v>70</v>
      </c>
      <c r="E11" s="10" t="s">
        <v>40</v>
      </c>
      <c r="F11" t="s">
        <v>41</v>
      </c>
      <c r="G11">
        <v>42</v>
      </c>
      <c r="H11" s="20">
        <v>1427</v>
      </c>
      <c r="I11" s="20">
        <v>59934</v>
      </c>
      <c r="J11" s="20">
        <v>9429</v>
      </c>
    </row>
    <row r="12" spans="1:10" x14ac:dyDescent="0.35">
      <c r="A12" t="s">
        <v>34</v>
      </c>
      <c r="B12" t="s">
        <v>42</v>
      </c>
      <c r="C12" t="s">
        <v>43</v>
      </c>
      <c r="D12" t="s">
        <v>70</v>
      </c>
      <c r="E12" s="10" t="s">
        <v>44</v>
      </c>
      <c r="F12" t="s">
        <v>41</v>
      </c>
      <c r="G12">
        <v>3</v>
      </c>
      <c r="H12" s="20">
        <v>2739</v>
      </c>
      <c r="I12" s="20">
        <v>8217</v>
      </c>
      <c r="J12" s="20">
        <v>1072</v>
      </c>
    </row>
    <row r="13" spans="1:10" x14ac:dyDescent="0.35">
      <c r="A13" t="s">
        <v>10</v>
      </c>
      <c r="B13" t="s">
        <v>27</v>
      </c>
      <c r="C13" t="s">
        <v>28</v>
      </c>
      <c r="D13" t="s">
        <v>68</v>
      </c>
      <c r="E13" s="10" t="s">
        <v>45</v>
      </c>
      <c r="F13" t="s">
        <v>41</v>
      </c>
      <c r="G13">
        <v>5</v>
      </c>
      <c r="H13" s="20">
        <v>1637</v>
      </c>
      <c r="I13" s="20">
        <v>8185</v>
      </c>
      <c r="J13" s="20">
        <v>2224</v>
      </c>
    </row>
    <row r="14" spans="1:10" x14ac:dyDescent="0.35">
      <c r="A14" t="s">
        <v>46</v>
      </c>
      <c r="B14" t="s">
        <v>11</v>
      </c>
      <c r="C14" t="s">
        <v>12</v>
      </c>
      <c r="D14" t="s">
        <v>70</v>
      </c>
      <c r="E14" s="10" t="s">
        <v>47</v>
      </c>
      <c r="F14" t="s">
        <v>26</v>
      </c>
      <c r="G14">
        <v>44</v>
      </c>
      <c r="H14" s="20">
        <v>7828</v>
      </c>
      <c r="I14" s="20">
        <v>344432</v>
      </c>
      <c r="J14" s="20">
        <v>69012</v>
      </c>
    </row>
    <row r="15" spans="1:10" x14ac:dyDescent="0.35">
      <c r="A15" t="s">
        <v>10</v>
      </c>
      <c r="B15" t="s">
        <v>42</v>
      </c>
      <c r="C15" t="s">
        <v>43</v>
      </c>
      <c r="D15" t="s">
        <v>68</v>
      </c>
      <c r="E15" s="10" t="s">
        <v>48</v>
      </c>
      <c r="F15" t="s">
        <v>41</v>
      </c>
      <c r="G15">
        <v>6</v>
      </c>
      <c r="H15" s="20">
        <v>1368</v>
      </c>
      <c r="I15" s="20">
        <v>8208</v>
      </c>
      <c r="J15" s="20">
        <v>1804</v>
      </c>
    </row>
    <row r="16" spans="1:10" x14ac:dyDescent="0.35">
      <c r="A16" t="s">
        <v>18</v>
      </c>
      <c r="B16" t="s">
        <v>29</v>
      </c>
      <c r="C16" t="s">
        <v>30</v>
      </c>
      <c r="D16" t="s">
        <v>70</v>
      </c>
      <c r="E16" s="10" t="s">
        <v>49</v>
      </c>
      <c r="F16" t="s">
        <v>41</v>
      </c>
      <c r="G16">
        <v>29</v>
      </c>
      <c r="H16" s="20">
        <v>6517</v>
      </c>
      <c r="I16" s="20">
        <v>188993</v>
      </c>
      <c r="J16" s="20">
        <v>21398</v>
      </c>
    </row>
    <row r="17" spans="1:10" x14ac:dyDescent="0.35">
      <c r="A17" t="s">
        <v>18</v>
      </c>
      <c r="B17" t="s">
        <v>11</v>
      </c>
      <c r="C17" t="s">
        <v>12</v>
      </c>
      <c r="D17" t="s">
        <v>71</v>
      </c>
      <c r="E17" s="10" t="s">
        <v>50</v>
      </c>
      <c r="F17" t="s">
        <v>26</v>
      </c>
      <c r="G17">
        <v>25</v>
      </c>
      <c r="H17" s="20">
        <v>5283</v>
      </c>
      <c r="I17" s="20">
        <v>132075</v>
      </c>
      <c r="J17" s="20">
        <v>39106</v>
      </c>
    </row>
    <row r="18" spans="1:10" x14ac:dyDescent="0.35">
      <c r="A18" t="s">
        <v>10</v>
      </c>
      <c r="B18" t="s">
        <v>51</v>
      </c>
      <c r="C18" t="s">
        <v>52</v>
      </c>
      <c r="D18" t="s">
        <v>70</v>
      </c>
      <c r="E18" s="10" t="s">
        <v>53</v>
      </c>
      <c r="F18" t="s">
        <v>32</v>
      </c>
      <c r="G18">
        <v>3</v>
      </c>
      <c r="H18" s="20">
        <v>7109</v>
      </c>
      <c r="I18" s="20">
        <v>21327</v>
      </c>
      <c r="J18" s="20">
        <v>4059</v>
      </c>
    </row>
    <row r="19" spans="1:10" x14ac:dyDescent="0.35">
      <c r="A19" t="s">
        <v>10</v>
      </c>
      <c r="B19" t="s">
        <v>51</v>
      </c>
      <c r="C19" t="s">
        <v>52</v>
      </c>
      <c r="D19" t="s">
        <v>68</v>
      </c>
      <c r="E19" s="10" t="s">
        <v>25</v>
      </c>
      <c r="F19" t="s">
        <v>14</v>
      </c>
      <c r="G19">
        <v>43</v>
      </c>
      <c r="H19" s="20">
        <v>7067</v>
      </c>
      <c r="I19" s="20">
        <v>303881</v>
      </c>
      <c r="J19" s="20">
        <v>71745</v>
      </c>
    </row>
    <row r="20" spans="1:10" x14ac:dyDescent="0.35">
      <c r="A20" t="s">
        <v>46</v>
      </c>
      <c r="B20" t="s">
        <v>29</v>
      </c>
      <c r="C20" t="s">
        <v>30</v>
      </c>
      <c r="D20" t="s">
        <v>71</v>
      </c>
      <c r="E20" s="10" t="s">
        <v>54</v>
      </c>
      <c r="F20" t="s">
        <v>41</v>
      </c>
      <c r="G20">
        <v>40</v>
      </c>
      <c r="H20" s="20">
        <v>8961</v>
      </c>
      <c r="I20" s="20">
        <v>358440</v>
      </c>
      <c r="J20" s="20">
        <v>58921</v>
      </c>
    </row>
    <row r="21" spans="1:10" x14ac:dyDescent="0.35">
      <c r="A21" t="s">
        <v>34</v>
      </c>
      <c r="B21" t="s">
        <v>55</v>
      </c>
      <c r="C21" t="s">
        <v>56</v>
      </c>
      <c r="D21" t="s">
        <v>71</v>
      </c>
      <c r="E21" s="10" t="s">
        <v>21</v>
      </c>
      <c r="F21" t="s">
        <v>41</v>
      </c>
      <c r="G21">
        <v>20</v>
      </c>
      <c r="H21" s="20">
        <v>5347</v>
      </c>
      <c r="I21" s="20">
        <v>106940</v>
      </c>
      <c r="J21" s="20">
        <v>22454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9E5D-40F7-4FC9-810B-DFAABE09E9A7}">
  <dimension ref="A1:K36"/>
  <sheetViews>
    <sheetView topLeftCell="E1" workbookViewId="0">
      <selection activeCell="J33" sqref="J33"/>
    </sheetView>
  </sheetViews>
  <sheetFormatPr baseColWidth="10" defaultRowHeight="14.5" x14ac:dyDescent="0.35"/>
  <cols>
    <col min="1" max="1" width="19.54296875" bestFit="1" customWidth="1"/>
    <col min="2" max="2" width="17.6328125" bestFit="1" customWidth="1"/>
    <col min="3" max="3" width="23.36328125" bestFit="1" customWidth="1"/>
    <col min="4" max="4" width="17.26953125" bestFit="1" customWidth="1"/>
    <col min="6" max="6" width="19.54296875" bestFit="1" customWidth="1"/>
    <col min="7" max="7" width="23.36328125" bestFit="1" customWidth="1"/>
    <col min="10" max="10" width="19.54296875" style="6" bestFit="1" customWidth="1"/>
    <col min="11" max="11" width="23.36328125" bestFit="1" customWidth="1"/>
  </cols>
  <sheetData>
    <row r="1" spans="1:7" x14ac:dyDescent="0.35">
      <c r="A1" s="2" t="s">
        <v>58</v>
      </c>
      <c r="B1" t="s">
        <v>59</v>
      </c>
      <c r="C1" t="s">
        <v>61</v>
      </c>
      <c r="D1" t="s">
        <v>62</v>
      </c>
    </row>
    <row r="2" spans="1:7" x14ac:dyDescent="0.35">
      <c r="A2" s="3" t="s">
        <v>22</v>
      </c>
      <c r="B2">
        <v>15</v>
      </c>
      <c r="C2" s="4">
        <v>81210</v>
      </c>
      <c r="D2" s="4">
        <v>10466</v>
      </c>
    </row>
    <row r="3" spans="1:7" x14ac:dyDescent="0.35">
      <c r="A3" s="3" t="s">
        <v>41</v>
      </c>
      <c r="B3">
        <v>145</v>
      </c>
      <c r="C3" s="4">
        <v>738917</v>
      </c>
      <c r="D3" s="4">
        <v>117302</v>
      </c>
    </row>
    <row r="4" spans="1:7" x14ac:dyDescent="0.35">
      <c r="A4" s="3" t="s">
        <v>26</v>
      </c>
      <c r="B4">
        <v>116</v>
      </c>
      <c r="C4" s="4">
        <v>800590</v>
      </c>
      <c r="D4" s="4">
        <v>166282</v>
      </c>
    </row>
    <row r="5" spans="1:7" x14ac:dyDescent="0.35">
      <c r="A5" s="3" t="s">
        <v>14</v>
      </c>
      <c r="B5">
        <v>177</v>
      </c>
      <c r="C5" s="4">
        <v>1128361</v>
      </c>
      <c r="D5" s="4">
        <v>242357</v>
      </c>
    </row>
    <row r="6" spans="1:7" x14ac:dyDescent="0.35">
      <c r="A6" s="3" t="s">
        <v>32</v>
      </c>
      <c r="B6">
        <v>27</v>
      </c>
      <c r="C6" s="4">
        <v>243303</v>
      </c>
      <c r="D6" s="4">
        <v>32419</v>
      </c>
    </row>
    <row r="7" spans="1:7" x14ac:dyDescent="0.35">
      <c r="A7" s="3" t="s">
        <v>60</v>
      </c>
      <c r="B7">
        <v>480</v>
      </c>
      <c r="C7" s="4">
        <v>2992381</v>
      </c>
      <c r="D7" s="4">
        <v>568826</v>
      </c>
    </row>
    <row r="10" spans="1:7" x14ac:dyDescent="0.35">
      <c r="A10" s="2" t="s">
        <v>58</v>
      </c>
      <c r="B10" t="s">
        <v>61</v>
      </c>
      <c r="C10" s="2" t="s">
        <v>58</v>
      </c>
      <c r="D10" t="s">
        <v>61</v>
      </c>
      <c r="F10" s="2" t="s">
        <v>58</v>
      </c>
      <c r="G10" t="s">
        <v>61</v>
      </c>
    </row>
    <row r="11" spans="1:7" x14ac:dyDescent="0.35">
      <c r="A11" s="3" t="s">
        <v>55</v>
      </c>
      <c r="B11">
        <v>106940</v>
      </c>
      <c r="C11" s="3" t="s">
        <v>18</v>
      </c>
      <c r="D11">
        <v>402278</v>
      </c>
      <c r="F11" s="3" t="s">
        <v>71</v>
      </c>
      <c r="G11">
        <v>701435</v>
      </c>
    </row>
    <row r="12" spans="1:7" x14ac:dyDescent="0.35">
      <c r="A12" s="3" t="s">
        <v>15</v>
      </c>
      <c r="B12">
        <v>103980</v>
      </c>
      <c r="C12" s="3" t="s">
        <v>46</v>
      </c>
      <c r="D12">
        <v>702872</v>
      </c>
      <c r="F12" s="3" t="s">
        <v>67</v>
      </c>
      <c r="G12">
        <v>644112</v>
      </c>
    </row>
    <row r="13" spans="1:7" x14ac:dyDescent="0.35">
      <c r="A13" s="3" t="s">
        <v>51</v>
      </c>
      <c r="B13">
        <v>325208</v>
      </c>
      <c r="C13" s="3" t="s">
        <v>34</v>
      </c>
      <c r="D13">
        <v>298709</v>
      </c>
      <c r="F13" s="3" t="s">
        <v>70</v>
      </c>
      <c r="G13">
        <v>820248</v>
      </c>
    </row>
    <row r="14" spans="1:7" x14ac:dyDescent="0.35">
      <c r="A14" s="3" t="s">
        <v>23</v>
      </c>
      <c r="B14">
        <v>310290</v>
      </c>
      <c r="C14" s="3" t="s">
        <v>36</v>
      </c>
      <c r="D14">
        <v>199983</v>
      </c>
      <c r="F14" s="3" t="s">
        <v>60</v>
      </c>
      <c r="G14">
        <v>2165795</v>
      </c>
    </row>
    <row r="15" spans="1:7" x14ac:dyDescent="0.35">
      <c r="A15" s="3" t="s">
        <v>38</v>
      </c>
      <c r="B15">
        <v>59934</v>
      </c>
      <c r="C15" s="3" t="s">
        <v>10</v>
      </c>
      <c r="D15">
        <v>1388539</v>
      </c>
    </row>
    <row r="16" spans="1:7" x14ac:dyDescent="0.35">
      <c r="A16" s="3" t="s">
        <v>11</v>
      </c>
      <c r="B16">
        <v>842770</v>
      </c>
      <c r="C16" s="3" t="s">
        <v>60</v>
      </c>
      <c r="D16">
        <v>2992381</v>
      </c>
      <c r="F16" s="2" t="s">
        <v>58</v>
      </c>
      <c r="G16" t="s">
        <v>61</v>
      </c>
    </row>
    <row r="17" spans="1:11" x14ac:dyDescent="0.35">
      <c r="A17" s="3" t="s">
        <v>27</v>
      </c>
      <c r="B17">
        <v>205530</v>
      </c>
      <c r="F17" s="3" t="s">
        <v>22</v>
      </c>
      <c r="G17" s="5">
        <v>2.7138923820195355E-2</v>
      </c>
      <c r="H17" s="5">
        <f>1-G17</f>
        <v>0.97286107617980466</v>
      </c>
    </row>
    <row r="18" spans="1:11" x14ac:dyDescent="0.35">
      <c r="A18" s="3" t="s">
        <v>19</v>
      </c>
      <c r="B18">
        <v>111846</v>
      </c>
      <c r="F18" s="3" t="s">
        <v>41</v>
      </c>
      <c r="G18" s="5">
        <v>0.24693279365161053</v>
      </c>
      <c r="H18" s="5">
        <f t="shared" ref="H18:H21" si="0">1-G18</f>
        <v>0.75306720634838942</v>
      </c>
      <c r="J18" s="7" t="s">
        <v>58</v>
      </c>
      <c r="K18" t="s">
        <v>61</v>
      </c>
    </row>
    <row r="19" spans="1:11" x14ac:dyDescent="0.35">
      <c r="A19" s="3" t="s">
        <v>42</v>
      </c>
      <c r="B19">
        <v>16425</v>
      </c>
      <c r="F19" s="3" t="s">
        <v>26</v>
      </c>
      <c r="G19" s="5">
        <v>0.26754280287169313</v>
      </c>
      <c r="H19" s="5">
        <f t="shared" si="0"/>
        <v>0.73245719712830692</v>
      </c>
      <c r="J19" s="11" t="s">
        <v>33</v>
      </c>
      <c r="K19">
        <v>30636</v>
      </c>
    </row>
    <row r="20" spans="1:11" x14ac:dyDescent="0.35">
      <c r="A20" s="3" t="s">
        <v>29</v>
      </c>
      <c r="B20">
        <v>909458</v>
      </c>
      <c r="F20" s="3" t="s">
        <v>14</v>
      </c>
      <c r="G20" s="5">
        <v>0.37707798572441142</v>
      </c>
      <c r="H20" s="5">
        <f t="shared" si="0"/>
        <v>0.62292201427558858</v>
      </c>
      <c r="J20" s="11" t="s">
        <v>44</v>
      </c>
      <c r="K20">
        <v>8217</v>
      </c>
    </row>
    <row r="21" spans="1:11" x14ac:dyDescent="0.35">
      <c r="A21" s="3" t="s">
        <v>60</v>
      </c>
      <c r="B21">
        <v>2992381</v>
      </c>
      <c r="F21" s="3" t="s">
        <v>32</v>
      </c>
      <c r="G21" s="5">
        <v>8.1307493932089525E-2</v>
      </c>
      <c r="H21" s="5">
        <f t="shared" si="0"/>
        <v>0.91869250606791053</v>
      </c>
      <c r="J21" s="11" t="s">
        <v>47</v>
      </c>
      <c r="K21">
        <v>344432</v>
      </c>
    </row>
    <row r="22" spans="1:11" x14ac:dyDescent="0.35">
      <c r="F22" s="3" t="s">
        <v>60</v>
      </c>
      <c r="G22" s="5">
        <v>1</v>
      </c>
      <c r="J22" s="11" t="s">
        <v>13</v>
      </c>
      <c r="K22">
        <v>366263</v>
      </c>
    </row>
    <row r="23" spans="1:11" x14ac:dyDescent="0.35">
      <c r="J23" s="11" t="s">
        <v>21</v>
      </c>
      <c r="K23">
        <v>385495</v>
      </c>
    </row>
    <row r="24" spans="1:11" x14ac:dyDescent="0.35">
      <c r="A24" s="3" t="s">
        <v>1</v>
      </c>
      <c r="B24" t="s">
        <v>63</v>
      </c>
      <c r="C24" t="s">
        <v>64</v>
      </c>
      <c r="D24" t="s">
        <v>65</v>
      </c>
      <c r="E24" t="s">
        <v>66</v>
      </c>
      <c r="J24" s="11" t="s">
        <v>17</v>
      </c>
      <c r="K24">
        <v>103980</v>
      </c>
    </row>
    <row r="25" spans="1:11" x14ac:dyDescent="0.35">
      <c r="A25" s="3" t="s">
        <v>55</v>
      </c>
      <c r="B25">
        <v>8</v>
      </c>
      <c r="C25">
        <v>4.8</v>
      </c>
      <c r="D25">
        <f>VLOOKUP(A25,$A$11:$B$20,2,FALSE)</f>
        <v>106940</v>
      </c>
      <c r="E25" t="str">
        <f>IF(D25=MAX(D25:D34),D25,"")</f>
        <v/>
      </c>
      <c r="J25" s="11" t="s">
        <v>49</v>
      </c>
      <c r="K25">
        <v>188993</v>
      </c>
    </row>
    <row r="26" spans="1:11" x14ac:dyDescent="0.35">
      <c r="A26" s="3" t="s">
        <v>15</v>
      </c>
      <c r="B26">
        <v>7</v>
      </c>
      <c r="C26">
        <v>5.5</v>
      </c>
      <c r="D26">
        <f t="shared" ref="D26:D34" si="1">VLOOKUP(A26,$A$11:$B$20,2,FALSE)</f>
        <v>103980</v>
      </c>
      <c r="E26" t="str">
        <f t="shared" ref="E26:E34" si="2">IF(D26=MAX(D26:D35),D26,"")</f>
        <v/>
      </c>
      <c r="J26" s="11" t="s">
        <v>53</v>
      </c>
      <c r="K26">
        <v>21327</v>
      </c>
    </row>
    <row r="27" spans="1:11" x14ac:dyDescent="0.35">
      <c r="A27" s="3" t="s">
        <v>51</v>
      </c>
      <c r="B27">
        <v>6.2</v>
      </c>
      <c r="C27">
        <v>2</v>
      </c>
      <c r="D27">
        <f t="shared" si="1"/>
        <v>325208</v>
      </c>
      <c r="E27" t="str">
        <f t="shared" si="2"/>
        <v/>
      </c>
      <c r="J27" s="11" t="s">
        <v>48</v>
      </c>
      <c r="K27">
        <v>8208</v>
      </c>
    </row>
    <row r="28" spans="1:11" x14ac:dyDescent="0.35">
      <c r="A28" s="3" t="s">
        <v>23</v>
      </c>
      <c r="B28">
        <v>4</v>
      </c>
      <c r="C28">
        <v>2</v>
      </c>
      <c r="D28">
        <f t="shared" si="1"/>
        <v>310290</v>
      </c>
      <c r="E28" t="str">
        <f t="shared" si="2"/>
        <v/>
      </c>
      <c r="J28" s="11" t="s">
        <v>31</v>
      </c>
      <c r="K28">
        <v>221976</v>
      </c>
    </row>
    <row r="29" spans="1:11" x14ac:dyDescent="0.35">
      <c r="A29" s="3" t="s">
        <v>38</v>
      </c>
      <c r="B29">
        <v>6</v>
      </c>
      <c r="C29">
        <v>7</v>
      </c>
      <c r="D29">
        <f t="shared" si="1"/>
        <v>59934</v>
      </c>
      <c r="E29" t="str">
        <f t="shared" si="2"/>
        <v/>
      </c>
      <c r="J29" s="11" t="s">
        <v>37</v>
      </c>
      <c r="K29">
        <v>140049</v>
      </c>
    </row>
    <row r="30" spans="1:11" x14ac:dyDescent="0.35">
      <c r="A30" s="3" t="s">
        <v>11</v>
      </c>
      <c r="B30">
        <v>6.5</v>
      </c>
      <c r="C30">
        <v>2.8</v>
      </c>
      <c r="D30">
        <f t="shared" si="1"/>
        <v>842770</v>
      </c>
      <c r="E30" t="str">
        <f t="shared" si="2"/>
        <v/>
      </c>
      <c r="J30" s="11" t="s">
        <v>35</v>
      </c>
      <c r="K30">
        <v>183552</v>
      </c>
    </row>
    <row r="31" spans="1:11" x14ac:dyDescent="0.35">
      <c r="A31" s="3" t="s">
        <v>27</v>
      </c>
      <c r="B31">
        <v>5</v>
      </c>
      <c r="C31">
        <v>1.5</v>
      </c>
      <c r="D31">
        <f t="shared" si="1"/>
        <v>205530</v>
      </c>
      <c r="E31" t="str">
        <f t="shared" si="2"/>
        <v/>
      </c>
      <c r="J31" s="11" t="s">
        <v>25</v>
      </c>
      <c r="K31">
        <v>430619</v>
      </c>
    </row>
    <row r="32" spans="1:11" x14ac:dyDescent="0.35">
      <c r="A32" s="3" t="s">
        <v>19</v>
      </c>
      <c r="B32">
        <v>5</v>
      </c>
      <c r="C32">
        <v>3.5</v>
      </c>
      <c r="D32">
        <f t="shared" si="1"/>
        <v>111846</v>
      </c>
      <c r="E32" t="str">
        <f t="shared" si="2"/>
        <v/>
      </c>
      <c r="J32" s="11" t="s">
        <v>54</v>
      </c>
      <c r="K32">
        <v>358440</v>
      </c>
    </row>
    <row r="33" spans="1:11" x14ac:dyDescent="0.35">
      <c r="A33" s="3" t="s">
        <v>42</v>
      </c>
      <c r="B33">
        <v>5</v>
      </c>
      <c r="C33">
        <v>1</v>
      </c>
      <c r="D33">
        <f t="shared" si="1"/>
        <v>16425</v>
      </c>
      <c r="E33" t="str">
        <f t="shared" si="2"/>
        <v/>
      </c>
      <c r="J33" s="11" t="s">
        <v>50</v>
      </c>
      <c r="K33">
        <v>132075</v>
      </c>
    </row>
    <row r="34" spans="1:11" x14ac:dyDescent="0.35">
      <c r="A34" s="3" t="s">
        <v>29</v>
      </c>
      <c r="B34">
        <v>6</v>
      </c>
      <c r="C34">
        <v>1</v>
      </c>
      <c r="D34">
        <f t="shared" si="1"/>
        <v>909458</v>
      </c>
      <c r="E34">
        <f t="shared" si="2"/>
        <v>909458</v>
      </c>
      <c r="J34" s="11" t="s">
        <v>40</v>
      </c>
      <c r="K34">
        <v>59934</v>
      </c>
    </row>
    <row r="35" spans="1:11" x14ac:dyDescent="0.35">
      <c r="A35" s="3" t="s">
        <v>60</v>
      </c>
      <c r="J35" s="11" t="s">
        <v>45</v>
      </c>
      <c r="K35">
        <v>8185</v>
      </c>
    </row>
    <row r="36" spans="1:11" x14ac:dyDescent="0.35">
      <c r="J36" s="8" t="s">
        <v>60</v>
      </c>
      <c r="K36">
        <v>2992381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1770-C47A-4036-80A1-1104CA291BBA}">
  <dimension ref="A1:CI66"/>
  <sheetViews>
    <sheetView showGridLines="0" tabSelected="1" zoomScale="40" zoomScaleNormal="40" zoomScaleSheetLayoutView="40" zoomScalePageLayoutView="40" workbookViewId="0">
      <selection activeCell="AW58" sqref="AW58"/>
    </sheetView>
  </sheetViews>
  <sheetFormatPr baseColWidth="10" defaultColWidth="5.6328125" defaultRowHeight="11" customHeight="1" x14ac:dyDescent="0.35"/>
  <cols>
    <col min="5" max="5" width="10.90625" customWidth="1"/>
    <col min="7" max="7" width="8.90625" customWidth="1"/>
    <col min="54" max="54" width="2.6328125" customWidth="1"/>
    <col min="55" max="59" width="5.6328125" hidden="1" customWidth="1"/>
    <col min="61" max="61" width="4.6328125" customWidth="1"/>
    <col min="62" max="73" width="5.6328125" hidden="1" customWidth="1"/>
  </cols>
  <sheetData>
    <row r="1" spans="1:17" ht="11" customHeight="1" x14ac:dyDescent="0.35">
      <c r="A1" s="12" t="s">
        <v>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1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11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8" spans="1:17" ht="25" customHeight="1" x14ac:dyDescent="0.35"/>
    <row r="9" spans="1:17" ht="38" customHeight="1" x14ac:dyDescent="0.8">
      <c r="B9" s="17">
        <f>GETPIVOTDATA("Somme de Chiffre d'affaire",Traitement!$A$1)</f>
        <v>2992381</v>
      </c>
      <c r="C9" s="17"/>
      <c r="D9" s="17"/>
      <c r="E9" s="17"/>
      <c r="F9" s="17"/>
      <c r="G9" s="15">
        <f>GETPIVOTDATA("Somme de Bénéfice",Traitement!$A$1)</f>
        <v>568826</v>
      </c>
      <c r="H9" s="15"/>
      <c r="I9" s="15"/>
      <c r="J9" s="15"/>
      <c r="L9" s="13">
        <f>Traitement!B7</f>
        <v>480</v>
      </c>
      <c r="M9" s="13"/>
      <c r="N9" s="13"/>
      <c r="O9" s="13"/>
    </row>
    <row r="10" spans="1:17" ht="11" customHeight="1" x14ac:dyDescent="0.7">
      <c r="B10" s="18"/>
      <c r="C10" s="18"/>
      <c r="D10" s="18"/>
      <c r="E10" s="18"/>
      <c r="F10" s="18"/>
      <c r="G10" s="16"/>
      <c r="H10" s="16"/>
      <c r="I10" s="16"/>
      <c r="J10" s="16"/>
      <c r="L10" s="14"/>
      <c r="M10" s="14"/>
      <c r="N10" s="14"/>
      <c r="O10" s="14"/>
    </row>
    <row r="11" spans="1:17" ht="11" customHeight="1" x14ac:dyDescent="0.7">
      <c r="B11" s="18"/>
      <c r="C11" s="18"/>
      <c r="D11" s="18"/>
      <c r="E11" s="18"/>
      <c r="F11" s="18"/>
      <c r="G11" s="16"/>
      <c r="H11" s="16"/>
      <c r="I11" s="16"/>
      <c r="J11" s="16"/>
      <c r="L11" s="14"/>
      <c r="M11" s="14"/>
      <c r="N11" s="14"/>
      <c r="O11" s="14"/>
    </row>
    <row r="66" spans="39:39" ht="11" customHeight="1" x14ac:dyDescent="0.35">
      <c r="AM66" t="s">
        <v>72</v>
      </c>
    </row>
  </sheetData>
  <mergeCells count="10">
    <mergeCell ref="A1:Q3"/>
    <mergeCell ref="L9:O9"/>
    <mergeCell ref="L10:O10"/>
    <mergeCell ref="L11:O11"/>
    <mergeCell ref="G9:J9"/>
    <mergeCell ref="G10:J10"/>
    <mergeCell ref="G11:J11"/>
    <mergeCell ref="B9:F9"/>
    <mergeCell ref="B10:F10"/>
    <mergeCell ref="B11:F11"/>
  </mergeCells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Ventes</vt:lpstr>
      <vt:lpstr>Traitement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 Mahamat</cp:lastModifiedBy>
  <dcterms:created xsi:type="dcterms:W3CDTF">2026-04-12T11:05:15Z</dcterms:created>
  <dcterms:modified xsi:type="dcterms:W3CDTF">2026-05-01T19:10:37Z</dcterms:modified>
</cp:coreProperties>
</file>